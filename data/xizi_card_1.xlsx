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首页及工序页" sheetId="1" r:id="rId1"/>
    <sheet name="草图页" sheetId="2" r:id="rId2"/>
    <sheet name="草图页 (2)" sheetId="10" r:id="rId3"/>
    <sheet name="校形页(仅适用钣金)" sheetId="8" r:id="rId4"/>
    <sheet name="更改记录页" sheetId="4" r:id="rId5"/>
  </sheets>
  <definedNames>
    <definedName name="_xlnm.Print_Titles" localSheetId="0">首页及工序页!$1:$3</definedName>
    <definedName name="会签1">首页及工序页!#REF!</definedName>
    <definedName name="会签1时间">首页及工序页!#REF!</definedName>
    <definedName name="会签2">首页及工序页!#REF!</definedName>
    <definedName name="会签2时间">首页及工序页!#REF!</definedName>
    <definedName name="会签3">首页及工序页!#REF!</definedName>
    <definedName name="会签3时间">首页及工序页!#REF!</definedName>
    <definedName name="会签4">首页及工序页!#REF!</definedName>
    <definedName name="会签4时间">首页及工序页!#REF!</definedName>
    <definedName name="批准">首页及工序页!#REF!</definedName>
    <definedName name="批准时间">首页及工序页!#REF!</definedName>
    <definedName name="设计">首页及工序页!#REF!</definedName>
    <definedName name="设计时间">首页及工序页!#REF!</definedName>
    <definedName name="校对">首页及工序页!#REF!</definedName>
    <definedName name="校对时间">首页及工序页!#REF!</definedName>
    <definedName name="质保">首页及工序页!#REF!</definedName>
    <definedName name="质保时间">首页及工序页!#REF!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<sst xmlns="http://schemas.openxmlformats.org/spreadsheetml/2006/main" count="199" uniqueCount="110">
  <si>
    <t>XXX</t>
  </si>
  <si>
    <t>制造流程卡
Fabrication  Traveler</t>
  </si>
  <si>
    <r>
      <rPr>
        <b/>
        <sz val="10"/>
        <color rgb="FF000000"/>
        <rFont val="宋体"/>
        <charset val="134"/>
      </rPr>
      <t xml:space="preserve">文件编号及版次
</t>
    </r>
    <r>
      <rPr>
        <b/>
        <sz val="10"/>
        <color rgb="FF000000"/>
        <rFont val="Times New Roman"/>
        <charset val="134"/>
      </rPr>
      <t>File Number and Revision</t>
    </r>
  </si>
  <si>
    <r>
      <rPr>
        <b/>
        <sz val="10"/>
        <color rgb="FF000000"/>
        <rFont val="宋体"/>
        <charset val="134"/>
      </rPr>
      <t xml:space="preserve">作业号
</t>
    </r>
    <r>
      <rPr>
        <b/>
        <sz val="10"/>
        <color rgb="FF000000"/>
        <rFont val="Times New Roman"/>
        <charset val="134"/>
      </rPr>
      <t>Job Number</t>
    </r>
  </si>
  <si>
    <t xml:space="preserve"> XA-FT-</t>
  </si>
  <si>
    <t>E53234023200-01</t>
  </si>
  <si>
    <t>/</t>
  </si>
  <si>
    <t>A4</t>
  </si>
  <si>
    <r>
      <rPr>
        <b/>
        <sz val="10"/>
        <color rgb="FF000000"/>
        <rFont val="宋体"/>
        <charset val="134"/>
      </rPr>
      <t xml:space="preserve">工序
</t>
    </r>
    <r>
      <rPr>
        <b/>
        <sz val="10"/>
        <color rgb="FF000000"/>
        <rFont val="Times New Roman"/>
        <charset val="134"/>
      </rPr>
      <t>Step</t>
    </r>
  </si>
  <si>
    <r>
      <rPr>
        <b/>
        <sz val="10"/>
        <color rgb="FF000000"/>
        <rFont val="宋体"/>
        <charset val="134"/>
      </rPr>
      <t xml:space="preserve">工序描述
</t>
    </r>
    <r>
      <rPr>
        <b/>
        <sz val="10"/>
        <color rgb="FF000000"/>
        <rFont val="Times New Roman"/>
        <charset val="134"/>
      </rPr>
      <t>PROCESS</t>
    </r>
  </si>
  <si>
    <r>
      <rPr>
        <b/>
        <sz val="10"/>
        <color rgb="FF000000"/>
        <rFont val="宋体"/>
        <charset val="134"/>
      </rPr>
      <t>工装</t>
    </r>
    <r>
      <rPr>
        <b/>
        <sz val="10"/>
        <color rgb="FF000000"/>
        <rFont val="Times New Roman"/>
        <charset val="134"/>
      </rPr>
      <t>/</t>
    </r>
    <r>
      <rPr>
        <b/>
        <sz val="10"/>
        <color rgb="FF000000"/>
        <rFont val="宋体"/>
        <charset val="134"/>
      </rPr>
      <t xml:space="preserve">版次
</t>
    </r>
    <r>
      <rPr>
        <b/>
        <sz val="10"/>
        <color rgb="FF000000"/>
        <rFont val="Times New Roman"/>
        <charset val="134"/>
      </rPr>
      <t>Tooling</t>
    </r>
  </si>
  <si>
    <r>
      <rPr>
        <b/>
        <sz val="10"/>
        <color rgb="FF000000"/>
        <rFont val="宋体"/>
        <charset val="134"/>
      </rPr>
      <t xml:space="preserve">工作内容
</t>
    </r>
    <r>
      <rPr>
        <b/>
        <sz val="10"/>
        <color rgb="FF000000"/>
        <rFont val="Times New Roman"/>
        <charset val="134"/>
      </rPr>
      <t>Description</t>
    </r>
  </si>
  <si>
    <r>
      <rPr>
        <b/>
        <sz val="10"/>
        <color rgb="FF000000"/>
        <rFont val="宋体"/>
        <charset val="134"/>
      </rPr>
      <t>工时统计
（</t>
    </r>
    <r>
      <rPr>
        <b/>
        <sz val="10"/>
        <color rgb="FF000000"/>
        <rFont val="Times New Roman"/>
        <charset val="134"/>
      </rPr>
      <t>work hrs</t>
    </r>
    <r>
      <rPr>
        <b/>
        <sz val="10"/>
        <color rgb="FF000000"/>
        <rFont val="宋体"/>
        <charset val="134"/>
      </rPr>
      <t>）</t>
    </r>
  </si>
  <si>
    <r>
      <rPr>
        <b/>
        <sz val="10"/>
        <color rgb="FF000000"/>
        <rFont val="宋体"/>
        <charset val="134"/>
      </rPr>
      <t xml:space="preserve">印章
</t>
    </r>
    <r>
      <rPr>
        <b/>
        <sz val="10"/>
        <color rgb="FF000000"/>
        <rFont val="Times New Roman"/>
        <charset val="134"/>
      </rPr>
      <t>Signature</t>
    </r>
  </si>
  <si>
    <r>
      <rPr>
        <b/>
        <sz val="10"/>
        <color rgb="FF000000"/>
        <rFont val="宋体"/>
        <charset val="134"/>
      </rPr>
      <t xml:space="preserve">质量记录
</t>
    </r>
    <r>
      <rPr>
        <b/>
        <sz val="10"/>
        <color rgb="FF000000"/>
        <rFont val="Times New Roman"/>
        <charset val="134"/>
      </rPr>
      <t>Quality Record</t>
    </r>
  </si>
  <si>
    <t>按FT检查来料的牌号/状态、规格、批号和表面状态；
Inspect incoming material specification/condition, size, lot number and surface quality per FT;
材料代用单号：___________________
Material Substitution Sheet NO:</t>
  </si>
  <si>
    <r>
      <rPr>
        <sz val="8.8"/>
        <color rgb="FF000000"/>
        <rFont val="宋体"/>
        <charset val="134"/>
      </rPr>
      <t>开工时间</t>
    </r>
    <r>
      <rPr>
        <sz val="8.8"/>
        <color rgb="FF000000"/>
        <rFont val="Times New Roman"/>
        <charset val="134"/>
      </rPr>
      <t xml:space="preserve">Start time
</t>
    </r>
    <r>
      <rPr>
        <u/>
        <sz val="8.8"/>
        <color rgb="FF000000"/>
        <rFont val="Times New Roman"/>
        <charset val="134"/>
      </rPr>
      <t xml:space="preserve">
</t>
    </r>
    <r>
      <rPr>
        <sz val="8.8"/>
        <color rgb="FF000000"/>
        <rFont val="Times New Roman"/>
        <charset val="134"/>
      </rPr>
      <t xml:space="preserve">_____N/A_____ </t>
    </r>
    <r>
      <rPr>
        <u/>
        <sz val="8.8"/>
        <color rgb="FF000000"/>
        <rFont val="Times New Roman"/>
        <charset val="134"/>
      </rPr>
      <t xml:space="preserve"> </t>
    </r>
    <r>
      <rPr>
        <sz val="8.8"/>
        <color rgb="FF000000"/>
        <rFont val="Times New Roman"/>
        <charset val="134"/>
      </rPr>
      <t xml:space="preserve">  
</t>
    </r>
    <r>
      <rPr>
        <sz val="8.8"/>
        <color rgb="FF000000"/>
        <rFont val="宋体"/>
        <charset val="134"/>
      </rPr>
      <t>完工时间</t>
    </r>
    <r>
      <rPr>
        <sz val="8.8"/>
        <color rgb="FF000000"/>
        <rFont val="Times New Roman"/>
        <charset val="134"/>
      </rPr>
      <t>Finish time
_____N/A_____</t>
    </r>
  </si>
  <si>
    <r>
      <rPr>
        <sz val="8.8"/>
        <color rgb="FF000000"/>
        <rFont val="宋体"/>
        <charset val="134"/>
      </rPr>
      <t>操作人员</t>
    </r>
    <r>
      <rPr>
        <sz val="8.8"/>
        <color rgb="FF000000"/>
        <rFont val="Times New Roman"/>
        <charset val="134"/>
      </rPr>
      <t xml:space="preserve">Operator
_____________
</t>
    </r>
    <r>
      <rPr>
        <sz val="8.8"/>
        <color rgb="FF000000"/>
        <rFont val="宋体"/>
        <charset val="134"/>
      </rPr>
      <t>检验人员</t>
    </r>
    <r>
      <rPr>
        <sz val="8.8"/>
        <color rgb="FF000000"/>
        <rFont val="Times New Roman"/>
        <charset val="134"/>
      </rPr>
      <t>Inspector
_____N/A_____</t>
    </r>
  </si>
  <si>
    <r>
      <rPr>
        <sz val="8.8"/>
        <color rgb="FF000000"/>
        <rFont val="宋体"/>
        <charset val="134"/>
      </rPr>
      <t>质量记录单号</t>
    </r>
    <r>
      <rPr>
        <sz val="8.8"/>
        <color rgb="FF000000"/>
        <rFont val="Times New Roman"/>
        <charset val="134"/>
      </rPr>
      <t xml:space="preserve"> Quality record No.
__________________________________
</t>
    </r>
    <r>
      <rPr>
        <sz val="8.8"/>
        <color rgb="FF000000"/>
        <rFont val="宋体"/>
        <charset val="134"/>
      </rPr>
      <t>合格数量</t>
    </r>
    <r>
      <rPr>
        <sz val="8.8"/>
        <color rgb="FF000000"/>
        <rFont val="Times New Roman"/>
        <charset val="134"/>
      </rPr>
      <t xml:space="preserve"> Qualified Qty:______________
</t>
    </r>
    <r>
      <rPr>
        <sz val="8.8"/>
        <color rgb="FF000000"/>
        <rFont val="宋体"/>
        <charset val="134"/>
      </rPr>
      <t>拒收</t>
    </r>
    <r>
      <rPr>
        <sz val="8.8"/>
        <color rgb="FF000000"/>
        <rFont val="Times New Roman"/>
        <charset val="134"/>
      </rPr>
      <t xml:space="preserve"> / </t>
    </r>
    <r>
      <rPr>
        <sz val="8.8"/>
        <color rgb="FF000000"/>
        <rFont val="宋体"/>
        <charset val="134"/>
      </rPr>
      <t>报废数量</t>
    </r>
    <r>
      <rPr>
        <sz val="8.8"/>
        <color rgb="FF000000"/>
        <rFont val="Times New Roman"/>
        <charset val="134"/>
      </rPr>
      <t xml:space="preserve"> REJ/SCRAP Qt:______
</t>
    </r>
    <r>
      <rPr>
        <sz val="8.8"/>
        <color rgb="FF000000"/>
        <rFont val="宋体"/>
        <charset val="134"/>
      </rPr>
      <t>不合格评审单</t>
    </r>
    <r>
      <rPr>
        <sz val="8.8"/>
        <color rgb="FF000000"/>
        <rFont val="Times New Roman"/>
        <charset val="134"/>
      </rPr>
      <t xml:space="preserve"> NCR SHEET NO.
_________________________________</t>
    </r>
  </si>
  <si>
    <t>钣金领料</t>
  </si>
  <si>
    <t>SM Incoming Inspection</t>
  </si>
  <si>
    <t>按照AIPS03-11-001及XA-OI-0310-01使用数控下料铣铣制外形及孔(参照草图1)，展开数据集E53234023200-01。
Milling the profile and hole according to AIPS03-11-001 and XA-OI-0310-01(See sketch 1), unfolded data E53234023200-01.</t>
  </si>
  <si>
    <t>法国数控叠料下料铣床钣金下料</t>
  </si>
  <si>
    <t>NC Routing</t>
  </si>
  <si>
    <t>MYLAR 
E53234023200-01</t>
  </si>
  <si>
    <t>按文件ADET0031和XA-OI-0311-01去除零件毛刺。
Deburring around the edge of the part  according to ADET0031 and XA-OI-0311-01.</t>
  </si>
  <si>
    <t>钣金钳工（新）</t>
  </si>
  <si>
    <t>Benchwork</t>
  </si>
  <si>
    <t>1、按XA-QI-0314 进行手工测量;
Semi-Finished Inspection per XA-QI-0314</t>
  </si>
  <si>
    <r>
      <rPr>
        <sz val="8.8"/>
        <color rgb="FF000000"/>
        <rFont val="宋体"/>
        <charset val="134"/>
      </rPr>
      <t>操作人员</t>
    </r>
    <r>
      <rPr>
        <sz val="8.8"/>
        <color rgb="FF000000"/>
        <rFont val="Times New Roman"/>
        <charset val="134"/>
      </rPr>
      <t xml:space="preserve">Operator
_____N/A_____
</t>
    </r>
    <r>
      <rPr>
        <sz val="8.8"/>
        <color rgb="FF000000"/>
        <rFont val="宋体"/>
        <charset val="134"/>
      </rPr>
      <t>检验人员</t>
    </r>
    <r>
      <rPr>
        <sz val="8.8"/>
        <color rgb="FF000000"/>
        <rFont val="Times New Roman"/>
        <charset val="134"/>
      </rPr>
      <t>Inspector
_____________</t>
    </r>
  </si>
  <si>
    <r>
      <rPr>
        <sz val="8.8"/>
        <color rgb="FF000000"/>
        <rFont val="宋体"/>
        <charset val="134"/>
      </rPr>
      <t>质量记录单号</t>
    </r>
    <r>
      <rPr>
        <sz val="8.8"/>
        <color rgb="FF000000"/>
        <rFont val="Times New Roman"/>
        <charset val="134"/>
      </rPr>
      <t xml:space="preserve"> Quality record No.
_______________N/A________________
</t>
    </r>
    <r>
      <rPr>
        <sz val="8.8"/>
        <color rgb="FF000000"/>
        <rFont val="宋体"/>
        <charset val="134"/>
      </rPr>
      <t>合格数量</t>
    </r>
    <r>
      <rPr>
        <sz val="8.8"/>
        <color rgb="FF000000"/>
        <rFont val="Times New Roman"/>
        <charset val="134"/>
      </rPr>
      <t xml:space="preserve"> Qualified Qty:______________
</t>
    </r>
    <r>
      <rPr>
        <sz val="8.8"/>
        <color rgb="FF000000"/>
        <rFont val="宋体"/>
        <charset val="134"/>
      </rPr>
      <t>拒收</t>
    </r>
    <r>
      <rPr>
        <sz val="8.8"/>
        <color rgb="FF000000"/>
        <rFont val="Times New Roman"/>
        <charset val="134"/>
      </rPr>
      <t xml:space="preserve"> / </t>
    </r>
    <r>
      <rPr>
        <sz val="8.8"/>
        <color rgb="FF000000"/>
        <rFont val="宋体"/>
        <charset val="134"/>
      </rPr>
      <t>报废数量</t>
    </r>
    <r>
      <rPr>
        <sz val="8.8"/>
        <color rgb="FF000000"/>
        <rFont val="Times New Roman"/>
        <charset val="134"/>
      </rPr>
      <t xml:space="preserve"> REJ/SCRAP Qt:______
</t>
    </r>
    <r>
      <rPr>
        <sz val="8.8"/>
        <color rgb="FF000000"/>
        <rFont val="宋体"/>
        <charset val="134"/>
      </rPr>
      <t>不合格评审单</t>
    </r>
    <r>
      <rPr>
        <sz val="8.8"/>
        <color rgb="FF000000"/>
        <rFont val="Times New Roman"/>
        <charset val="134"/>
      </rPr>
      <t xml:space="preserve"> NCR SHEET NO.
_________________________________</t>
    </r>
  </si>
  <si>
    <t>钣金下料检验</t>
  </si>
  <si>
    <t>SM inspection</t>
  </si>
  <si>
    <r>
      <rPr>
        <sz val="8.8"/>
        <rFont val="宋体"/>
        <charset val="134"/>
      </rPr>
      <t>清洗按照</t>
    </r>
    <r>
      <rPr>
        <sz val="8.8"/>
        <rFont val="Times New Roman"/>
        <charset val="134"/>
      </rPr>
      <t>XA-OI-0401/AIPI09-01-002</t>
    </r>
    <r>
      <rPr>
        <sz val="8.8"/>
        <rFont val="宋体"/>
        <charset val="134"/>
      </rPr>
      <t>进行</t>
    </r>
    <r>
      <rPr>
        <sz val="8.8"/>
        <rFont val="Times New Roman"/>
        <charset val="134"/>
      </rPr>
      <t>;
Cleaning of aluminum alloys  Cleaning per XA-OI-0401/AIPI09-01-002</t>
    </r>
  </si>
  <si>
    <t>通用铝合金手工清洗</t>
  </si>
  <si>
    <t>Cleaning of aluminum alloys</t>
  </si>
  <si>
    <r>
      <rPr>
        <sz val="8.8"/>
        <rFont val="Times New Roman"/>
        <charset val="134"/>
      </rPr>
      <t>1.</t>
    </r>
    <r>
      <rPr>
        <sz val="8.8"/>
        <rFont val="宋体"/>
        <charset val="134"/>
      </rPr>
      <t>按文件</t>
    </r>
    <r>
      <rPr>
        <sz val="8.8"/>
        <rFont val="Times New Roman"/>
        <charset val="134"/>
      </rPr>
      <t>XA-OI-0401</t>
    </r>
    <r>
      <rPr>
        <sz val="8.8"/>
        <rFont val="宋体"/>
        <charset val="134"/>
      </rPr>
      <t>和</t>
    </r>
    <r>
      <rPr>
        <sz val="8.8"/>
        <rFont val="Times New Roman"/>
        <charset val="134"/>
      </rPr>
      <t>AIPI04-01-001</t>
    </r>
    <r>
      <rPr>
        <sz val="8.8"/>
        <rFont val="宋体"/>
        <charset val="134"/>
      </rPr>
      <t>进行固溶处理，将零件处理到</t>
    </r>
    <r>
      <rPr>
        <sz val="8.8"/>
        <rFont val="Times New Roman"/>
        <charset val="134"/>
      </rPr>
      <t>W</t>
    </r>
    <r>
      <rPr>
        <sz val="8.8"/>
        <rFont val="宋体"/>
        <charset val="134"/>
      </rPr>
      <t>状态。保温温度为</t>
    </r>
    <r>
      <rPr>
        <sz val="8.8"/>
        <rFont val="Times New Roman"/>
        <charset val="134"/>
      </rPr>
      <t>(495±5)</t>
    </r>
    <r>
      <rPr>
        <sz val="8.8"/>
        <rFont val="宋体"/>
        <charset val="134"/>
      </rPr>
      <t>℃，保温时间</t>
    </r>
    <r>
      <rPr>
        <sz val="8.8"/>
        <rFont val="Times New Roman"/>
        <charset val="134"/>
      </rPr>
      <t>(35±5)min</t>
    </r>
    <r>
      <rPr>
        <sz val="8.8"/>
        <rFont val="宋体"/>
        <charset val="134"/>
      </rPr>
      <t>，淬火水温</t>
    </r>
    <r>
      <rPr>
        <sz val="8.8"/>
        <rFont val="Times New Roman"/>
        <charset val="134"/>
      </rPr>
      <t>15</t>
    </r>
    <r>
      <rPr>
        <sz val="8.8"/>
        <rFont val="宋体"/>
        <charset val="134"/>
      </rPr>
      <t>℃～</t>
    </r>
    <r>
      <rPr>
        <sz val="8.8"/>
        <rFont val="Times New Roman"/>
        <charset val="134"/>
      </rPr>
      <t>32</t>
    </r>
    <r>
      <rPr>
        <sz val="8.8"/>
        <rFont val="宋体"/>
        <charset val="134"/>
      </rPr>
      <t>℃，淬火过程水温不超过</t>
    </r>
    <r>
      <rPr>
        <sz val="8.8"/>
        <rFont val="Times New Roman"/>
        <charset val="134"/>
      </rPr>
      <t>10</t>
    </r>
    <r>
      <rPr>
        <sz val="8.8"/>
        <rFont val="宋体"/>
        <charset val="134"/>
      </rPr>
      <t>℃，淬火后，水温≤</t>
    </r>
    <r>
      <rPr>
        <sz val="8.8"/>
        <rFont val="Times New Roman"/>
        <charset val="134"/>
      </rPr>
      <t>37.8</t>
    </r>
    <r>
      <rPr>
        <sz val="8.8"/>
        <rFont val="宋体"/>
        <charset val="134"/>
      </rPr>
      <t>℃，淬火转移时间≤</t>
    </r>
    <r>
      <rPr>
        <sz val="8.8"/>
        <rFont val="Times New Roman"/>
        <charset val="134"/>
      </rPr>
      <t>10</t>
    </r>
    <r>
      <rPr>
        <sz val="8.8"/>
        <rFont val="宋体"/>
        <charset val="134"/>
      </rPr>
      <t>秒。调用编号</t>
    </r>
    <r>
      <rPr>
        <sz val="8.8"/>
        <rFont val="Times New Roman"/>
        <charset val="134"/>
      </rPr>
      <t>0020</t>
    </r>
    <r>
      <rPr>
        <sz val="8.8"/>
        <rFont val="宋体"/>
        <charset val="134"/>
      </rPr>
      <t xml:space="preserve">程序
</t>
    </r>
    <r>
      <rPr>
        <sz val="8.8"/>
        <rFont val="Times New Roman"/>
        <charset val="134"/>
      </rPr>
      <t>Solution treatment to “W” condition according to XA-OI-0401 and AIPI04-01-001. Temperature is (495±5)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>, soaking time is(35±5)min, quenching in water and initial water temperature is in a range of 15</t>
    </r>
    <r>
      <rPr>
        <sz val="8.8"/>
        <rFont val="宋体"/>
        <charset val="134"/>
      </rPr>
      <t>℃～</t>
    </r>
    <r>
      <rPr>
        <sz val="8.8"/>
        <rFont val="Times New Roman"/>
        <charset val="134"/>
      </rPr>
      <t>32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>, water temperature shall not rise by more than 10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 xml:space="preserve"> and final temperature less than 37.8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>, maximum quench delay is 10 seconds.Call program No. 0020.
2.</t>
    </r>
    <r>
      <rPr>
        <sz val="8.8"/>
        <rFont val="宋体"/>
        <charset val="134"/>
      </rPr>
      <t>按文件</t>
    </r>
    <r>
      <rPr>
        <sz val="8.8"/>
        <rFont val="Times New Roman"/>
        <charset val="134"/>
      </rPr>
      <t>XA-QI-0401</t>
    </r>
    <r>
      <rPr>
        <sz val="8.8"/>
        <rFont val="宋体"/>
        <charset val="134"/>
      </rPr>
      <t xml:space="preserve">进行检验。
</t>
    </r>
    <r>
      <rPr>
        <sz val="8.8"/>
        <rFont val="Times New Roman"/>
        <charset val="134"/>
      </rPr>
      <t>Inspect according to XA-QI-0401.</t>
    </r>
  </si>
  <si>
    <t>AIPS/AIPI铝合金的固溶</t>
  </si>
  <si>
    <t>Solution</t>
  </si>
  <si>
    <r>
      <rPr>
        <sz val="8.8"/>
        <rFont val="Times New Roman"/>
        <charset val="134"/>
      </rPr>
      <t>1.</t>
    </r>
    <r>
      <rPr>
        <sz val="8.8"/>
        <rFont val="宋体"/>
        <charset val="134"/>
      </rPr>
      <t>按文件</t>
    </r>
    <r>
      <rPr>
        <sz val="8.8"/>
        <rFont val="Times New Roman"/>
        <charset val="134"/>
      </rPr>
      <t>XA-OI-0401</t>
    </r>
    <r>
      <rPr>
        <sz val="8.8"/>
        <rFont val="宋体"/>
        <charset val="134"/>
      </rPr>
      <t>进行冷藏，并在冷藏记录和</t>
    </r>
    <r>
      <rPr>
        <sz val="8.8"/>
        <rFont val="Times New Roman"/>
        <charset val="134"/>
      </rPr>
      <t>“W</t>
    </r>
    <r>
      <rPr>
        <sz val="8.8"/>
        <rFont val="宋体"/>
        <charset val="134"/>
      </rPr>
      <t>状态成形</t>
    </r>
    <r>
      <rPr>
        <sz val="8.8"/>
        <rFont val="Times New Roman"/>
        <charset val="134"/>
      </rPr>
      <t>/</t>
    </r>
    <r>
      <rPr>
        <sz val="8.8"/>
        <rFont val="宋体"/>
        <charset val="134"/>
      </rPr>
      <t>校形记录</t>
    </r>
    <r>
      <rPr>
        <sz val="8.8"/>
        <rFont val="Times New Roman"/>
        <charset val="134"/>
      </rPr>
      <t>”</t>
    </r>
    <r>
      <rPr>
        <sz val="8.8"/>
        <rFont val="宋体"/>
        <charset val="134"/>
      </rPr>
      <t xml:space="preserve">中填写质量记录。
</t>
    </r>
    <r>
      <rPr>
        <sz val="8.8"/>
        <rFont val="Times New Roman"/>
        <charset val="134"/>
      </rPr>
      <t>Refrigerated storage parts according to XA-OI-0401</t>
    </r>
    <r>
      <rPr>
        <sz val="8.8"/>
        <rFont val="宋体"/>
        <charset val="134"/>
      </rPr>
      <t>，</t>
    </r>
    <r>
      <rPr>
        <sz val="8.8"/>
        <rFont val="Times New Roman"/>
        <charset val="134"/>
      </rPr>
      <t>and fill the quality records in refrigeration record and “W” Condition Forming/Straightening Record.
2.</t>
    </r>
    <r>
      <rPr>
        <sz val="8.8"/>
        <rFont val="宋体"/>
        <charset val="134"/>
      </rPr>
      <t>按文件</t>
    </r>
    <r>
      <rPr>
        <sz val="8.8"/>
        <rFont val="Times New Roman"/>
        <charset val="134"/>
      </rPr>
      <t>XA-QI-0401</t>
    </r>
    <r>
      <rPr>
        <sz val="8.8"/>
        <rFont val="宋体"/>
        <charset val="134"/>
      </rPr>
      <t xml:space="preserve">进行检验。
</t>
    </r>
    <r>
      <rPr>
        <sz val="8.8"/>
        <rFont val="Times New Roman"/>
        <charset val="134"/>
      </rPr>
      <t>Inspect according to XA-QI-0401.</t>
    </r>
  </si>
  <si>
    <t>通用冷藏</t>
  </si>
  <si>
    <t>Refrigerate</t>
  </si>
  <si>
    <t>E53234023200-01-FB/T1
MYLAR
E53234023200-01</t>
  </si>
  <si>
    <t>按文件AIPS 03-10-005以及 XA-OI-0312-02，根据草图1将展开料液压成形，符合图纸的要求。
Hydraulic forming the developed material according to AIPS 03-10-005 and XA-OI-0312-02 to meet the requirements of drawing. See sketch 1.</t>
  </si>
  <si>
    <t>橡皮囊液压成型机液压</t>
  </si>
  <si>
    <t>Hydraulic Forming</t>
  </si>
  <si>
    <r>
      <rPr>
        <sz val="8.8"/>
        <rFont val="宋体"/>
        <charset val="134"/>
      </rPr>
      <t>淬火后，零件在</t>
    </r>
    <r>
      <rPr>
        <sz val="8.8"/>
        <rFont val="Times New Roman"/>
        <charset val="134"/>
      </rPr>
      <t>-1</t>
    </r>
    <r>
      <rPr>
        <sz val="8.8"/>
        <rFont val="宋体"/>
        <charset val="134"/>
      </rPr>
      <t>℃～</t>
    </r>
    <r>
      <rPr>
        <sz val="8.8"/>
        <rFont val="Times New Roman"/>
        <charset val="134"/>
      </rPr>
      <t>37.8</t>
    </r>
    <r>
      <rPr>
        <sz val="8.8"/>
        <rFont val="宋体"/>
        <charset val="134"/>
      </rPr>
      <t>℃保持</t>
    </r>
    <r>
      <rPr>
        <sz val="8.8"/>
        <rFont val="Times New Roman"/>
        <charset val="134"/>
      </rPr>
      <t>W</t>
    </r>
    <r>
      <rPr>
        <sz val="8.8"/>
        <rFont val="宋体"/>
        <charset val="134"/>
      </rPr>
      <t>状态的最长时间为</t>
    </r>
    <r>
      <rPr>
        <sz val="8.8"/>
        <rFont val="Times New Roman"/>
        <charset val="134"/>
      </rPr>
      <t>30</t>
    </r>
    <r>
      <rPr>
        <sz val="8.8"/>
        <rFont val="宋体"/>
        <charset val="134"/>
      </rPr>
      <t>分钟。冷藏温度在</t>
    </r>
    <r>
      <rPr>
        <sz val="8.8"/>
        <rFont val="Times New Roman"/>
        <charset val="134"/>
      </rPr>
      <t>-18</t>
    </r>
    <r>
      <rPr>
        <sz val="8.8"/>
        <rFont val="宋体"/>
        <charset val="134"/>
      </rPr>
      <t>℃以下，保存时间不能超过</t>
    </r>
    <r>
      <rPr>
        <sz val="8.8"/>
        <rFont val="Times New Roman"/>
        <charset val="134"/>
      </rPr>
      <t>7</t>
    </r>
    <r>
      <rPr>
        <sz val="8.8"/>
        <rFont val="宋体"/>
        <charset val="134"/>
      </rPr>
      <t>天。在</t>
    </r>
    <r>
      <rPr>
        <sz val="8.8"/>
        <rFont val="Times New Roman"/>
        <charset val="134"/>
      </rPr>
      <t>“W</t>
    </r>
    <r>
      <rPr>
        <sz val="8.8"/>
        <rFont val="宋体"/>
        <charset val="134"/>
      </rPr>
      <t>状态成形</t>
    </r>
    <r>
      <rPr>
        <sz val="8.8"/>
        <rFont val="Times New Roman"/>
        <charset val="134"/>
      </rPr>
      <t>/</t>
    </r>
    <r>
      <rPr>
        <sz val="8.8"/>
        <rFont val="宋体"/>
        <charset val="134"/>
      </rPr>
      <t>校形记录</t>
    </r>
    <r>
      <rPr>
        <sz val="8.8"/>
        <rFont val="Times New Roman"/>
        <charset val="134"/>
      </rPr>
      <t>”</t>
    </r>
    <r>
      <rPr>
        <sz val="8.8"/>
        <rFont val="宋体"/>
        <charset val="134"/>
      </rPr>
      <t xml:space="preserve">中填写质量记录。
</t>
    </r>
    <r>
      <rPr>
        <sz val="8.8"/>
        <rFont val="Times New Roman"/>
        <charset val="134"/>
      </rPr>
      <t>Reach -1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 xml:space="preserve"> to 37.8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 xml:space="preserve"> after quenching, maximum time held in w condition is 30min. Storage temperature below -18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 xml:space="preserve"> and storage time is less than 7 days. Fill the quality record in “W” Condition Forming/Straightening Record.
</t>
    </r>
    <r>
      <rPr>
        <sz val="8.8"/>
        <rFont val="宋体"/>
        <charset val="134"/>
      </rPr>
      <t>按文件</t>
    </r>
    <r>
      <rPr>
        <sz val="8.8"/>
        <rFont val="Times New Roman"/>
        <charset val="134"/>
      </rPr>
      <t>AIPS 03-10-005</t>
    </r>
    <r>
      <rPr>
        <sz val="8.8"/>
        <rFont val="宋体"/>
        <charset val="134"/>
      </rPr>
      <t>及</t>
    </r>
    <r>
      <rPr>
        <sz val="8.8"/>
        <rFont val="Times New Roman"/>
        <charset val="134"/>
      </rPr>
      <t>XA-OI-0312-01</t>
    </r>
    <r>
      <rPr>
        <sz val="8.8"/>
        <rFont val="宋体"/>
        <charset val="134"/>
      </rPr>
      <t xml:space="preserve">校形零件，符合图纸及公差要求；
</t>
    </r>
    <r>
      <rPr>
        <sz val="8.8"/>
        <rFont val="Times New Roman"/>
        <charset val="134"/>
      </rPr>
      <t>Straightening  parts according to AIPS 03-10-005  and XA-OI-0312-01to meet the requirments of drawing and tolerance.</t>
    </r>
  </si>
  <si>
    <t>钣金校形</t>
  </si>
  <si>
    <t>Dress</t>
  </si>
  <si>
    <r>
      <rPr>
        <sz val="8.8"/>
        <rFont val="Times New Roman"/>
        <charset val="134"/>
      </rPr>
      <t>1</t>
    </r>
    <r>
      <rPr>
        <sz val="8.8"/>
        <rFont val="宋体"/>
        <charset val="134"/>
      </rPr>
      <t>、按</t>
    </r>
    <r>
      <rPr>
        <sz val="8.8"/>
        <rFont val="Times New Roman"/>
        <charset val="134"/>
      </rPr>
      <t xml:space="preserve">XA-QI-0315 </t>
    </r>
    <r>
      <rPr>
        <sz val="8.8"/>
        <rFont val="宋体"/>
        <charset val="134"/>
      </rPr>
      <t>进行手工测量</t>
    </r>
    <r>
      <rPr>
        <sz val="8.8"/>
        <rFont val="Times New Roman"/>
        <charset val="134"/>
      </rPr>
      <t>;
Semi-Finished Inspection per XA-QI-0315;</t>
    </r>
  </si>
  <si>
    <t>钣金成型检验</t>
  </si>
  <si>
    <r>
      <rPr>
        <sz val="8.8"/>
        <rFont val="宋体"/>
        <charset val="134"/>
      </rPr>
      <t>在室温（</t>
    </r>
    <r>
      <rPr>
        <sz val="8.8"/>
        <rFont val="Times New Roman"/>
        <charset val="134"/>
      </rPr>
      <t>15</t>
    </r>
    <r>
      <rPr>
        <sz val="8.8"/>
        <rFont val="宋体"/>
        <charset val="134"/>
      </rPr>
      <t>℃～</t>
    </r>
    <r>
      <rPr>
        <sz val="8.8"/>
        <rFont val="Times New Roman"/>
        <charset val="134"/>
      </rPr>
      <t>40</t>
    </r>
    <r>
      <rPr>
        <sz val="8.8"/>
        <rFont val="宋体"/>
        <charset val="134"/>
      </rPr>
      <t>℃）保持至少</t>
    </r>
    <r>
      <rPr>
        <sz val="8.8"/>
        <rFont val="Times New Roman"/>
        <charset val="134"/>
      </rPr>
      <t>96</t>
    </r>
    <r>
      <rPr>
        <sz val="8.8"/>
        <rFont val="宋体"/>
        <charset val="134"/>
      </rPr>
      <t>小时自然时效至</t>
    </r>
    <r>
      <rPr>
        <sz val="8.8"/>
        <rFont val="Times New Roman"/>
        <charset val="134"/>
      </rPr>
      <t>T42</t>
    </r>
    <r>
      <rPr>
        <sz val="8.8"/>
        <rFont val="宋体"/>
        <charset val="134"/>
      </rPr>
      <t>状态后，按照</t>
    </r>
    <r>
      <rPr>
        <sz val="8.8"/>
        <rFont val="Times New Roman"/>
        <charset val="134"/>
      </rPr>
      <t>XA-Lab-2301</t>
    </r>
    <r>
      <rPr>
        <sz val="8.8"/>
        <rFont val="宋体"/>
        <charset val="134"/>
      </rPr>
      <t>和</t>
    </r>
    <r>
      <rPr>
        <sz val="8.8"/>
        <rFont val="Times New Roman"/>
        <charset val="134"/>
      </rPr>
      <t>AITM6-6004</t>
    </r>
    <r>
      <rPr>
        <sz val="8.8"/>
        <rFont val="宋体"/>
        <charset val="134"/>
      </rPr>
      <t>在有效测试区域内进行电导率测试，电导率满足</t>
    </r>
    <r>
      <rPr>
        <sz val="8.8"/>
        <rFont val="Times New Roman"/>
        <charset val="134"/>
      </rPr>
      <t xml:space="preserve"> </t>
    </r>
    <r>
      <rPr>
        <sz val="8.8"/>
        <rFont val="宋体"/>
        <charset val="134"/>
      </rPr>
      <t>：（</t>
    </r>
    <r>
      <rPr>
        <sz val="8.8"/>
        <rFont val="Times New Roman"/>
        <charset val="134"/>
      </rPr>
      <t>16.5-21.5</t>
    </r>
    <r>
      <rPr>
        <sz val="8.8"/>
        <rFont val="宋体"/>
        <charset val="134"/>
      </rPr>
      <t>）</t>
    </r>
    <r>
      <rPr>
        <sz val="8.8"/>
        <rFont val="Times New Roman"/>
        <charset val="134"/>
      </rPr>
      <t>MS/m</t>
    </r>
    <r>
      <rPr>
        <sz val="8.8"/>
        <rFont val="宋体"/>
        <charset val="134"/>
      </rPr>
      <t xml:space="preserve">。
</t>
    </r>
    <r>
      <rPr>
        <sz val="8.8"/>
        <rFont val="Times New Roman"/>
        <charset val="134"/>
      </rPr>
      <t>After natural aging at RT (15</t>
    </r>
    <r>
      <rPr>
        <sz val="8.8"/>
        <rFont val="宋体"/>
        <charset val="134"/>
      </rPr>
      <t>℃～</t>
    </r>
    <r>
      <rPr>
        <sz val="8.8"/>
        <rFont val="Times New Roman"/>
        <charset val="134"/>
      </rPr>
      <t>40</t>
    </r>
    <r>
      <rPr>
        <sz val="8.8"/>
        <rFont val="宋体"/>
        <charset val="134"/>
      </rPr>
      <t>℃</t>
    </r>
    <r>
      <rPr>
        <sz val="8.8"/>
        <rFont val="Times New Roman"/>
        <charset val="134"/>
      </rPr>
      <t>) for 96 hours minimum to T42 temper, electrical Conductivity Test in the effective test area as per XA-Lab-2301 and AITM6-6004, test value shall meet the requirement</t>
    </r>
    <r>
      <rPr>
        <sz val="8.8"/>
        <rFont val="宋体"/>
        <charset val="134"/>
      </rPr>
      <t>：（</t>
    </r>
    <r>
      <rPr>
        <sz val="8.8"/>
        <rFont val="Times New Roman"/>
        <charset val="134"/>
      </rPr>
      <t>16.5-21.5</t>
    </r>
    <r>
      <rPr>
        <sz val="8.8"/>
        <rFont val="宋体"/>
        <charset val="134"/>
      </rPr>
      <t>）</t>
    </r>
    <r>
      <rPr>
        <sz val="8.8"/>
        <rFont val="Times New Roman"/>
        <charset val="134"/>
      </rPr>
      <t xml:space="preserve">MS/m.
</t>
    </r>
    <r>
      <rPr>
        <sz val="8.8"/>
        <rFont val="宋体"/>
        <charset val="134"/>
      </rPr>
      <t>测试结果</t>
    </r>
    <r>
      <rPr>
        <sz val="8.8"/>
        <rFont val="Times New Roman"/>
        <charset val="134"/>
      </rPr>
      <t xml:space="preserve">/Test value:________________________
</t>
    </r>
    <r>
      <rPr>
        <sz val="8.8"/>
        <rFont val="宋体"/>
        <charset val="134"/>
      </rPr>
      <t>测试时间</t>
    </r>
    <r>
      <rPr>
        <sz val="8.8"/>
        <rFont val="Times New Roman"/>
        <charset val="134"/>
      </rPr>
      <t>/Operating time: ________________________</t>
    </r>
  </si>
  <si>
    <t>电导率</t>
  </si>
  <si>
    <t>Electrical Conductivity Test</t>
  </si>
  <si>
    <t>1、按照XA-OI-0201-03/AIPS 02-01-003文件要求，执行K7程序进行非紧公差、不封闭的酒石酸阳极化处理，在质量记录一列记录生产记录编号；
Perform unsealed TSA of aluminum alloys for no tight dimensional tolerance per K7 program according to XA-OI-0201-03/AIPS 02-01-003, fill the production record No. in the quality record column.
2、按照XA-QI-0201文件要求进行质量检验。
Quality inspection per XA-QI-0201.</t>
  </si>
  <si>
    <r>
      <rPr>
        <sz val="8.8"/>
        <color rgb="FF000000"/>
        <rFont val="宋体"/>
        <charset val="134"/>
      </rPr>
      <t>开工时间</t>
    </r>
    <r>
      <rPr>
        <sz val="8.8"/>
        <color rgb="FF000000"/>
        <rFont val="Times New Roman"/>
        <charset val="134"/>
      </rPr>
      <t xml:space="preserve">Start time
</t>
    </r>
    <r>
      <rPr>
        <u/>
        <sz val="8.8"/>
        <color rgb="FF000000"/>
        <rFont val="Times New Roman"/>
        <charset val="134"/>
      </rPr>
      <t xml:space="preserve">
</t>
    </r>
    <r>
      <rPr>
        <sz val="8.8"/>
        <color rgb="FF000000"/>
        <rFont val="Times New Roman"/>
        <charset val="134"/>
      </rPr>
      <t xml:space="preserve">_____________
</t>
    </r>
    <r>
      <rPr>
        <sz val="8.8"/>
        <color rgb="FF000000"/>
        <rFont val="宋体"/>
        <charset val="134"/>
      </rPr>
      <t>完工时间</t>
    </r>
    <r>
      <rPr>
        <sz val="8.8"/>
        <color rgb="FF000000"/>
        <rFont val="Times New Roman"/>
        <charset val="134"/>
      </rPr>
      <t>Finish time
_____________</t>
    </r>
  </si>
  <si>
    <t>AIPS/AIPI酒石酸硫酸阳极化紧公差不封闭</t>
  </si>
  <si>
    <t>AIPS/AIPI unsealed TSA for tight dimensional tolerance</t>
  </si>
  <si>
    <r>
      <rPr>
        <sz val="8.8"/>
        <rFont val="Times New Roman"/>
        <charset val="134"/>
      </rPr>
      <t>1</t>
    </r>
    <r>
      <rPr>
        <sz val="8.8"/>
        <rFont val="宋体"/>
        <charset val="134"/>
      </rPr>
      <t>、阳极化后</t>
    </r>
    <r>
      <rPr>
        <sz val="8.8"/>
        <rFont val="Times New Roman"/>
        <charset val="134"/>
      </rPr>
      <t>24</t>
    </r>
    <r>
      <rPr>
        <sz val="8.8"/>
        <rFont val="宋体"/>
        <charset val="134"/>
      </rPr>
      <t>小时之内，按照文件</t>
    </r>
    <r>
      <rPr>
        <sz val="8.8"/>
        <rFont val="Times New Roman"/>
        <charset val="134"/>
      </rPr>
      <t>XA-OI-0501-03/AIPS 05-02-009</t>
    </r>
    <r>
      <rPr>
        <sz val="8.8"/>
        <rFont val="宋体"/>
        <charset val="134"/>
      </rPr>
      <t>文件要求，喷涂</t>
    </r>
    <r>
      <rPr>
        <sz val="8.8"/>
        <rFont val="Times New Roman"/>
        <charset val="134"/>
      </rPr>
      <t>P60-A</t>
    </r>
    <r>
      <rPr>
        <sz val="8.8"/>
        <rFont val="宋体"/>
        <charset val="134"/>
      </rPr>
      <t xml:space="preserve">底漆，在质量记录一列记录喷漆记录编号及漆膜厚度范围值；
</t>
    </r>
    <r>
      <rPr>
        <sz val="8.8"/>
        <rFont val="Times New Roman"/>
        <charset val="134"/>
      </rPr>
      <t>P60-A primer painting per XA-OI-0501-03/AIPS 05-02-009 within 24 hours after anodizing, fill the painting record No. in the quality record column and record film thickness range.
2</t>
    </r>
    <r>
      <rPr>
        <sz val="8.8"/>
        <rFont val="宋体"/>
        <charset val="134"/>
      </rPr>
      <t>、按照</t>
    </r>
    <r>
      <rPr>
        <sz val="8.8"/>
        <rFont val="Times New Roman"/>
        <charset val="134"/>
      </rPr>
      <t>XA-QI-0501-03</t>
    </r>
    <r>
      <rPr>
        <sz val="8.8"/>
        <rFont val="宋体"/>
        <charset val="134"/>
      </rPr>
      <t xml:space="preserve">文件要求进行质量检验。
</t>
    </r>
    <r>
      <rPr>
        <sz val="8.8"/>
        <rFont val="Times New Roman"/>
        <charset val="134"/>
      </rPr>
      <t xml:space="preserve">Quality inspection per XA-QI-0501-03.
</t>
    </r>
    <r>
      <rPr>
        <sz val="8.8"/>
        <rFont val="宋体"/>
        <charset val="134"/>
      </rPr>
      <t>漆膜厚度要求值：</t>
    </r>
    <r>
      <rPr>
        <sz val="8.8"/>
        <rFont val="Times New Roman"/>
        <charset val="134"/>
      </rPr>
      <t xml:space="preserve">15-25μm
Film thickness value range shall be 15-25μm
</t>
    </r>
    <r>
      <rPr>
        <sz val="8.8"/>
        <rFont val="宋体"/>
        <charset val="134"/>
      </rPr>
      <t>记录漆膜厚度范围值</t>
    </r>
    <r>
      <rPr>
        <sz val="8.8"/>
        <rFont val="Times New Roman"/>
        <charset val="134"/>
      </rPr>
      <t>/ record the range of dry film thickness</t>
    </r>
    <r>
      <rPr>
        <sz val="8.8"/>
        <rFont val="宋体"/>
        <charset val="134"/>
      </rPr>
      <t>：</t>
    </r>
    <r>
      <rPr>
        <sz val="8.8"/>
        <rFont val="Times New Roman"/>
        <charset val="134"/>
      </rPr>
      <t>_________________________</t>
    </r>
  </si>
  <si>
    <t>AIPS/AIPI喷P60-A底漆</t>
  </si>
  <si>
    <t>AIPS/AIPI P60-A primer painting</t>
  </si>
  <si>
    <r>
      <rPr>
        <sz val="8.8"/>
        <rFont val="Times New Roman"/>
        <charset val="134"/>
      </rPr>
      <t>1</t>
    </r>
    <r>
      <rPr>
        <sz val="8.8"/>
        <rFont val="宋体"/>
        <charset val="134"/>
      </rPr>
      <t>、底漆喷涂后</t>
    </r>
    <r>
      <rPr>
        <sz val="8.8"/>
        <rFont val="Times New Roman"/>
        <charset val="134"/>
      </rPr>
      <t>48</t>
    </r>
    <r>
      <rPr>
        <sz val="8.8"/>
        <rFont val="宋体"/>
        <charset val="134"/>
      </rPr>
      <t>小时内，按照文件</t>
    </r>
    <r>
      <rPr>
        <sz val="8.8"/>
        <rFont val="Times New Roman"/>
        <charset val="134"/>
      </rPr>
      <t>XA-OI-0501-04/AIPS 05-02-009</t>
    </r>
    <r>
      <rPr>
        <sz val="8.8"/>
        <rFont val="宋体"/>
        <charset val="134"/>
      </rPr>
      <t>文件要求，喷涂</t>
    </r>
    <r>
      <rPr>
        <sz val="8.8"/>
        <rFont val="Times New Roman"/>
        <charset val="134"/>
      </rPr>
      <t>F70-A</t>
    </r>
    <r>
      <rPr>
        <sz val="8.8"/>
        <rFont val="宋体"/>
        <charset val="134"/>
      </rPr>
      <t xml:space="preserve">面漆，在质量记录一列记录喷漆记录编号及漆膜厚度范围值；
</t>
    </r>
    <r>
      <rPr>
        <sz val="8.8"/>
        <rFont val="Times New Roman"/>
        <charset val="134"/>
      </rPr>
      <t>F70-A topcoat painting per XA-OI-0501-04/AIPS 05-02-009 within 48 hours after primer painting, fill the painting record No. in the quality record column and record film thickness range.
2</t>
    </r>
    <r>
      <rPr>
        <sz val="8.8"/>
        <rFont val="宋体"/>
        <charset val="134"/>
      </rPr>
      <t>、按照</t>
    </r>
    <r>
      <rPr>
        <sz val="8.8"/>
        <rFont val="Times New Roman"/>
        <charset val="134"/>
      </rPr>
      <t>XA-QI-0501-04</t>
    </r>
    <r>
      <rPr>
        <sz val="8.8"/>
        <rFont val="宋体"/>
        <charset val="134"/>
      </rPr>
      <t xml:space="preserve">文件要求进行质量检验。
</t>
    </r>
    <r>
      <rPr>
        <sz val="8.8"/>
        <rFont val="Times New Roman"/>
        <charset val="134"/>
      </rPr>
      <t xml:space="preserve">Quality inspection per XA-QI-0501-04.
</t>
    </r>
    <r>
      <rPr>
        <sz val="8.8"/>
        <rFont val="宋体"/>
        <charset val="134"/>
      </rPr>
      <t>漆膜厚度要求值：</t>
    </r>
    <r>
      <rPr>
        <sz val="8.8"/>
        <rFont val="Times New Roman"/>
        <charset val="134"/>
      </rPr>
      <t xml:space="preserve">20-30μm
Film thickness value range shall be 20-30μm
</t>
    </r>
    <r>
      <rPr>
        <sz val="8.8"/>
        <rFont val="宋体"/>
        <charset val="134"/>
      </rPr>
      <t>记录漆膜厚度范围值</t>
    </r>
    <r>
      <rPr>
        <sz val="8.8"/>
        <rFont val="Times New Roman"/>
        <charset val="134"/>
      </rPr>
      <t>/ record the range of dry film thickness</t>
    </r>
    <r>
      <rPr>
        <sz val="8.8"/>
        <rFont val="宋体"/>
        <charset val="134"/>
      </rPr>
      <t>：</t>
    </r>
    <r>
      <rPr>
        <sz val="8.8"/>
        <rFont val="Times New Roman"/>
        <charset val="134"/>
      </rPr>
      <t>_________________________</t>
    </r>
  </si>
  <si>
    <t>AIPS/AIPI喷F70-A面漆</t>
  </si>
  <si>
    <t>AIPS/AIPI F70-A topcoat painting</t>
  </si>
  <si>
    <r>
      <rPr>
        <sz val="8.8"/>
        <rFont val="宋体"/>
        <charset val="134"/>
      </rPr>
      <t>使用喷码机在草图</t>
    </r>
    <r>
      <rPr>
        <sz val="8.8"/>
        <rFont val="Times New Roman"/>
        <charset val="134"/>
      </rPr>
      <t>1</t>
    </r>
    <r>
      <rPr>
        <sz val="8.8"/>
        <rFont val="宋体"/>
        <charset val="134"/>
      </rPr>
      <t>所示位置喷涂零件标识，按</t>
    </r>
    <r>
      <rPr>
        <sz val="8.8"/>
        <rFont val="Times New Roman"/>
        <charset val="134"/>
      </rPr>
      <t>ABD0003/AIPS-08-01-001/XA-OI-0801-02</t>
    </r>
    <r>
      <rPr>
        <sz val="8.8"/>
        <rFont val="宋体"/>
        <charset val="134"/>
      </rPr>
      <t xml:space="preserve">执行。
</t>
    </r>
    <r>
      <rPr>
        <sz val="8.8"/>
        <rFont val="Times New Roman"/>
        <charset val="134"/>
      </rPr>
      <t xml:space="preserve">Use inkjet paint the part at the position where sketch1 indicated, operated as is seen in XA-OI-0801-02.
</t>
    </r>
    <r>
      <rPr>
        <sz val="8.8"/>
        <rFont val="宋体"/>
        <charset val="134"/>
      </rPr>
      <t>检验要求见</t>
    </r>
    <r>
      <rPr>
        <sz val="8.8"/>
        <rFont val="Times New Roman"/>
        <charset val="134"/>
      </rPr>
      <t>XA-QI-0801-02</t>
    </r>
    <r>
      <rPr>
        <sz val="8.8"/>
        <rFont val="宋体"/>
        <charset val="134"/>
      </rPr>
      <t xml:space="preserve">。
</t>
    </r>
    <r>
      <rPr>
        <sz val="8.8"/>
        <rFont val="Times New Roman"/>
        <charset val="134"/>
      </rPr>
      <t>The inspection requirement is in ABD0003/AIPS-08-01-001/XA-QI-0801-02.</t>
    </r>
  </si>
  <si>
    <t>喷码</t>
  </si>
  <si>
    <t>Marking</t>
  </si>
  <si>
    <r>
      <rPr>
        <sz val="8.8"/>
        <rFont val="Times New Roman"/>
        <charset val="134"/>
      </rPr>
      <t>1</t>
    </r>
    <r>
      <rPr>
        <sz val="8.8"/>
        <rFont val="宋体"/>
        <charset val="134"/>
      </rPr>
      <t>、按</t>
    </r>
    <r>
      <rPr>
        <sz val="8.8"/>
        <rFont val="Times New Roman"/>
        <charset val="134"/>
      </rPr>
      <t>XA-QI-0313</t>
    </r>
    <r>
      <rPr>
        <sz val="8.8"/>
        <rFont val="宋体"/>
        <charset val="134"/>
      </rPr>
      <t>终检</t>
    </r>
    <r>
      <rPr>
        <sz val="8.8"/>
        <rFont val="Times New Roman"/>
        <charset val="134"/>
      </rPr>
      <t>;
Final Inspection per XA-QI-0313;
2</t>
    </r>
    <r>
      <rPr>
        <sz val="8.8"/>
        <rFont val="宋体"/>
        <charset val="134"/>
      </rPr>
      <t>、开具合格证，在质量记录一列记录合格证编号</t>
    </r>
    <r>
      <rPr>
        <sz val="8.8"/>
        <rFont val="Times New Roman"/>
        <charset val="134"/>
      </rPr>
      <t>;
Issue Certificate and record in the Quality Record column</t>
    </r>
    <r>
      <rPr>
        <sz val="8.8"/>
        <rFont val="宋体"/>
        <charset val="134"/>
      </rPr>
      <t>。</t>
    </r>
  </si>
  <si>
    <t>零件终检</t>
  </si>
  <si>
    <t>Final Inspection</t>
  </si>
  <si>
    <r>
      <rPr>
        <sz val="8.8"/>
        <rFont val="宋体"/>
        <charset val="134"/>
      </rPr>
      <t>按</t>
    </r>
    <r>
      <rPr>
        <sz val="8.8"/>
        <rFont val="Times New Roman"/>
        <charset val="134"/>
      </rPr>
      <t>XA-OI-1001-01</t>
    </r>
    <r>
      <rPr>
        <sz val="8.8"/>
        <rFont val="宋体"/>
        <charset val="134"/>
      </rPr>
      <t xml:space="preserve">将零件放入聚乙烯薄膜袋中并塑封，将零件移交至零件库房，做好零件入库记录，本记录交由品质部归档。
</t>
    </r>
    <r>
      <rPr>
        <sz val="8.8"/>
        <rFont val="Times New Roman"/>
        <charset val="134"/>
      </rPr>
      <t>Place parts in polyethylene bags and sealed according to XA-OI-1001-01,transfer the parts to partswarehouse,complete in-stock record,transfer the Traveler to Quality Department.</t>
    </r>
  </si>
  <si>
    <t>成品入库</t>
  </si>
  <si>
    <t>Storage</t>
  </si>
  <si>
    <t>文件编号及版次：
File Number:</t>
  </si>
  <si>
    <t xml:space="preserve"> XA-FT- </t>
  </si>
  <si>
    <t>作业号
Job Number</t>
  </si>
  <si>
    <r>
      <rPr>
        <b/>
        <sz val="10"/>
        <color rgb="FF000000"/>
        <rFont val="Times New Roman"/>
        <charset val="134"/>
      </rPr>
      <t>工序号
Process    No</t>
    </r>
  </si>
  <si>
    <r>
      <rPr>
        <sz val="10"/>
        <rFont val="宋体"/>
        <charset val="134"/>
      </rPr>
      <t>草图</t>
    </r>
    <r>
      <rPr>
        <sz val="10"/>
        <rFont val="Times New Roman"/>
        <charset val="134"/>
      </rPr>
      <t>1
Sketch 1</t>
    </r>
  </si>
  <si>
    <r>
      <rPr>
        <sz val="10"/>
        <rFont val="宋体"/>
        <charset val="134"/>
      </rPr>
      <t>说明</t>
    </r>
    <r>
      <rPr>
        <sz val="10"/>
        <rFont val="Times New Roman"/>
        <charset val="134"/>
      </rPr>
      <t xml:space="preserve">
Note</t>
    </r>
  </si>
  <si>
    <r>
      <rPr>
        <sz val="10"/>
        <rFont val="等线"/>
        <charset val="134"/>
      </rPr>
      <t>Ф6.2±0.1mm、Ф</t>
    </r>
    <r>
      <rPr>
        <sz val="10"/>
        <rFont val="Times New Roman"/>
        <charset val="134"/>
      </rPr>
      <t>3.2±0.1mm</t>
    </r>
    <r>
      <rPr>
        <sz val="10"/>
        <rFont val="等线"/>
        <charset val="134"/>
      </rPr>
      <t>、</t>
    </r>
    <r>
      <rPr>
        <sz val="10"/>
        <rFont val="Times New Roman"/>
        <charset val="134"/>
      </rPr>
      <t>H=8±0.8mm</t>
    </r>
    <r>
      <rPr>
        <sz val="10"/>
        <rFont val="等线"/>
        <charset val="134"/>
      </rPr>
      <t>、</t>
    </r>
    <r>
      <rPr>
        <sz val="10"/>
        <rFont val="Times New Roman"/>
        <charset val="134"/>
      </rPr>
      <t>H=21.5±0.8mm</t>
    </r>
    <r>
      <rPr>
        <sz val="10"/>
        <rFont val="等线"/>
        <charset val="134"/>
      </rPr>
      <t>、H=35.5±1mm、DN 90°±1°、R=4+1.5mm</t>
    </r>
  </si>
  <si>
    <r>
      <rPr>
        <b/>
        <sz val="12"/>
        <color rgb="FF000000"/>
        <rFont val="宋体"/>
        <charset val="134"/>
      </rPr>
      <t xml:space="preserve">工序附图说明
</t>
    </r>
    <r>
      <rPr>
        <b/>
        <sz val="12"/>
        <color rgb="FF000000"/>
        <rFont val="Times New Roman"/>
        <charset val="134"/>
      </rPr>
      <t>Process  sketch  Note</t>
    </r>
  </si>
  <si>
    <r>
      <rPr>
        <sz val="10"/>
        <rFont val="宋体"/>
        <charset val="134"/>
      </rPr>
      <t>草图</t>
    </r>
    <r>
      <rPr>
        <sz val="10"/>
        <rFont val="Times New Roman"/>
        <charset val="134"/>
      </rPr>
      <t>2
Sketch 2</t>
    </r>
  </si>
  <si>
    <t>N/A</t>
  </si>
  <si>
    <r>
      <rPr>
        <b/>
        <sz val="12"/>
        <color rgb="FF000000"/>
        <rFont val="Times New Roman"/>
        <charset val="134"/>
      </rPr>
      <t>“W/AQ”</t>
    </r>
    <r>
      <rPr>
        <b/>
        <sz val="12"/>
        <color rgb="FF000000"/>
        <rFont val="宋体"/>
        <charset val="134"/>
      </rPr>
      <t>状态成形</t>
    </r>
    <r>
      <rPr>
        <b/>
        <sz val="12"/>
        <color rgb="FF000000"/>
        <rFont val="Times New Roman"/>
        <charset val="134"/>
      </rPr>
      <t>/</t>
    </r>
    <r>
      <rPr>
        <b/>
        <sz val="12"/>
        <color rgb="FF000000"/>
        <rFont val="宋体"/>
        <charset val="134"/>
      </rPr>
      <t xml:space="preserve">校形记录
</t>
    </r>
    <r>
      <rPr>
        <b/>
        <sz val="12"/>
        <color rgb="FF000000"/>
        <rFont val="Times New Roman"/>
        <charset val="134"/>
      </rPr>
      <t>“W/AQ” Condition Forming/Straightening Record</t>
    </r>
  </si>
  <si>
    <r>
      <rPr>
        <b/>
        <sz val="10"/>
        <color rgb="FF000000"/>
        <rFont val="宋体"/>
        <charset val="134"/>
      </rPr>
      <t>出炉日期</t>
    </r>
    <r>
      <rPr>
        <b/>
        <sz val="10"/>
        <color rgb="FF000000"/>
        <rFont val="Times New Roman"/>
        <charset val="134"/>
      </rPr>
      <t>/</t>
    </r>
    <r>
      <rPr>
        <b/>
        <sz val="10"/>
        <color rgb="FF000000"/>
        <rFont val="宋体"/>
        <charset val="134"/>
      </rPr>
      <t xml:space="preserve">时间
</t>
    </r>
    <r>
      <rPr>
        <b/>
        <sz val="10"/>
        <color rgb="FF000000"/>
        <rFont val="Times New Roman"/>
        <charset val="134"/>
      </rPr>
      <t>Unloading date/time</t>
    </r>
  </si>
  <si>
    <r>
      <rPr>
        <b/>
        <sz val="10"/>
        <rFont val="宋体"/>
        <charset val="134"/>
      </rPr>
      <t xml:space="preserve">检验员
</t>
    </r>
    <r>
      <rPr>
        <b/>
        <sz val="10"/>
        <rFont val="Times New Roman"/>
        <charset val="134"/>
      </rPr>
      <t>Inspector</t>
    </r>
  </si>
  <si>
    <r>
      <rPr>
        <b/>
        <sz val="10"/>
        <rFont val="宋体"/>
        <charset val="134"/>
      </rPr>
      <t xml:space="preserve">数量
</t>
    </r>
    <r>
      <rPr>
        <b/>
        <sz val="10"/>
        <rFont val="Times New Roman"/>
        <charset val="134"/>
      </rPr>
      <t>Qty.</t>
    </r>
  </si>
  <si>
    <r>
      <rPr>
        <b/>
        <sz val="10"/>
        <rFont val="宋体"/>
        <charset val="134"/>
      </rPr>
      <t>存入日期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 xml:space="preserve">时间
</t>
    </r>
    <r>
      <rPr>
        <b/>
        <sz val="10"/>
        <rFont val="Times New Roman"/>
        <charset val="134"/>
      </rPr>
      <t>Date/time In</t>
    </r>
  </si>
  <si>
    <r>
      <rPr>
        <b/>
        <sz val="10"/>
        <rFont val="宋体"/>
        <charset val="134"/>
      </rPr>
      <t xml:space="preserve">操作者
</t>
    </r>
    <r>
      <rPr>
        <b/>
        <sz val="10"/>
        <rFont val="Times New Roman"/>
        <charset val="134"/>
      </rPr>
      <t>Operator</t>
    </r>
  </si>
  <si>
    <r>
      <rPr>
        <b/>
        <sz val="10"/>
        <rFont val="宋体"/>
        <charset val="134"/>
      </rPr>
      <t>取出日期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 xml:space="preserve">时间
</t>
    </r>
    <r>
      <rPr>
        <b/>
        <sz val="10"/>
        <rFont val="Times New Roman"/>
        <charset val="134"/>
      </rPr>
      <t>Date/time Out</t>
    </r>
  </si>
  <si>
    <r>
      <rPr>
        <b/>
        <sz val="10"/>
        <rFont val="宋体"/>
        <charset val="134"/>
      </rPr>
      <t xml:space="preserve">取出数量
</t>
    </r>
    <r>
      <rPr>
        <b/>
        <sz val="10"/>
        <rFont val="Times New Roman"/>
        <charset val="134"/>
      </rPr>
      <t>Remove Qty.</t>
    </r>
  </si>
  <si>
    <r>
      <rPr>
        <b/>
        <sz val="10"/>
        <rFont val="宋体"/>
        <charset val="134"/>
      </rPr>
      <t xml:space="preserve">室温（℃）
</t>
    </r>
    <r>
      <rPr>
        <b/>
        <sz val="10"/>
        <rFont val="Times New Roman"/>
        <charset val="134"/>
      </rPr>
      <t>Room temperature</t>
    </r>
  </si>
  <si>
    <r>
      <rPr>
        <b/>
        <sz val="10"/>
        <rFont val="宋体"/>
        <charset val="134"/>
      </rPr>
      <t>成形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>校形完成日期</t>
    </r>
    <r>
      <rPr>
        <b/>
        <sz val="10"/>
        <rFont val="Times New Roman"/>
        <charset val="134"/>
      </rPr>
      <t>/</t>
    </r>
    <r>
      <rPr>
        <b/>
        <sz val="10"/>
        <rFont val="宋体"/>
        <charset val="134"/>
      </rPr>
      <t xml:space="preserve">时间
</t>
    </r>
    <r>
      <rPr>
        <b/>
        <sz val="10"/>
        <rFont val="Times New Roman"/>
        <charset val="134"/>
      </rPr>
      <t>Forming/Straightening finish date/time</t>
    </r>
  </si>
  <si>
    <r>
      <rPr>
        <b/>
        <sz val="10"/>
        <rFont val="宋体"/>
        <charset val="134"/>
      </rPr>
      <t xml:space="preserve">数量
</t>
    </r>
    <r>
      <rPr>
        <b/>
        <sz val="10"/>
        <rFont val="Times New Roman"/>
        <charset val="134"/>
      </rPr>
      <t xml:space="preserve">Qty. </t>
    </r>
  </si>
  <si>
    <r>
      <rPr>
        <b/>
        <sz val="12"/>
        <color rgb="FF000000"/>
        <rFont val="宋体"/>
        <charset val="134"/>
      </rPr>
      <t>版次记录</t>
    </r>
    <r>
      <rPr>
        <b/>
        <sz val="12"/>
        <color rgb="FF000000"/>
        <rFont val="Times New Roman"/>
        <charset val="134"/>
      </rPr>
      <t xml:space="preserve"> 
RECORD OF REVISIONS</t>
    </r>
  </si>
  <si>
    <r>
      <rPr>
        <sz val="10"/>
        <color rgb="FF000000"/>
        <rFont val="宋体"/>
        <charset val="134"/>
      </rPr>
      <t xml:space="preserve">版次
</t>
    </r>
    <r>
      <rPr>
        <sz val="10"/>
        <color rgb="FF000000"/>
        <rFont val="Times New Roman"/>
        <charset val="134"/>
      </rPr>
      <t>REV</t>
    </r>
  </si>
  <si>
    <r>
      <rPr>
        <sz val="10"/>
        <color rgb="FF000000"/>
        <rFont val="宋体"/>
        <charset val="134"/>
      </rPr>
      <t xml:space="preserve">更改前内容
</t>
    </r>
    <r>
      <rPr>
        <sz val="10"/>
        <color rgb="FF000000"/>
        <rFont val="Times New Roman"/>
        <charset val="134"/>
      </rPr>
      <t>CONTENT BEFORE CHANGE</t>
    </r>
  </si>
  <si>
    <r>
      <rPr>
        <sz val="10"/>
        <rFont val="宋体"/>
        <charset val="134"/>
      </rPr>
      <t xml:space="preserve">更改后内容
</t>
    </r>
    <r>
      <rPr>
        <sz val="10"/>
        <rFont val="Times New Roman"/>
        <charset val="134"/>
      </rPr>
      <t>CONTENT AFTER CHANGE</t>
    </r>
  </si>
  <si>
    <r>
      <rPr>
        <sz val="10"/>
        <color rgb="FF000000"/>
        <rFont val="宋体"/>
        <charset val="134"/>
      </rPr>
      <t xml:space="preserve">更改依据
</t>
    </r>
    <r>
      <rPr>
        <sz val="10"/>
        <color rgb="FF000000"/>
        <rFont val="Times New Roman"/>
        <charset val="134"/>
      </rPr>
      <t>SOURCE</t>
    </r>
  </si>
  <si>
    <r>
      <rPr>
        <sz val="10"/>
        <color rgb="FF000000"/>
        <rFont val="Times New Roman"/>
        <charset val="134"/>
      </rPr>
      <t>A1</t>
    </r>
  </si>
  <si>
    <t>NEW</t>
  </si>
  <si>
    <r>
      <rPr>
        <sz val="10"/>
        <color rgb="FF000000"/>
        <rFont val="Times New Roman"/>
        <charset val="134"/>
      </rPr>
      <t>A2</t>
    </r>
  </si>
  <si>
    <r>
      <rPr>
        <sz val="10"/>
        <rFont val="宋体"/>
        <charset val="134"/>
      </rPr>
      <t>更新草图</t>
    </r>
    <r>
      <rPr>
        <sz val="10"/>
        <rFont val="Times New Roman"/>
        <charset val="134"/>
      </rPr>
      <t xml:space="preserve"> Sketch update</t>
    </r>
  </si>
  <si>
    <r>
      <rPr>
        <sz val="10"/>
        <color rgb="FF000000"/>
        <rFont val="宋体"/>
        <charset val="134"/>
      </rPr>
      <t>工艺完善</t>
    </r>
    <r>
      <rPr>
        <sz val="10"/>
        <color rgb="FF000000"/>
        <rFont val="Times New Roman"/>
        <charset val="134"/>
      </rPr>
      <t xml:space="preserve"> Process perfect</t>
    </r>
  </si>
  <si>
    <r>
      <rPr>
        <sz val="10"/>
        <color rgb="FF000000"/>
        <rFont val="Times New Roman"/>
        <charset val="134"/>
      </rPr>
      <t>A3</t>
    </r>
  </si>
  <si>
    <t>材料定额material 490.5*198mm</t>
  </si>
  <si>
    <t>材料定额material 465.3*172.5mm</t>
  </si>
  <si>
    <r>
      <rPr>
        <sz val="10"/>
        <color rgb="FF000000"/>
        <rFont val="宋体"/>
        <charset val="134"/>
      </rPr>
      <t>工艺优化</t>
    </r>
    <r>
      <rPr>
        <sz val="10"/>
        <color rgb="FF000000"/>
        <rFont val="Times New Roman"/>
        <charset val="134"/>
      </rPr>
      <t>/process optimization</t>
    </r>
  </si>
  <si>
    <t>固溶前成型/Hydraulic Forming before heat treatment</t>
  </si>
  <si>
    <t>固溶后成型/Hydraulic Forming after heat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</si>
</sst>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Verdana"/>
      <charset val="134"/>
    </font>
    <font>
      <b/>
      <sz val="22"/>
      <color rgb="FF000000"/>
      <name val="宋体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2"/>
      <name val="Times New Roman"/>
      <charset val="134"/>
    </font>
    <font>
      <b/>
      <sz val="10"/>
      <color rgb="FF000000"/>
      <name val="Times New Roman"/>
      <charset val="134"/>
    </font>
    <font>
      <b/>
      <sz val="10"/>
      <name val="Times New Roman"/>
      <charset val="134"/>
    </font>
    <font>
      <sz val="12"/>
      <name val="Verdana"/>
      <charset val="134"/>
    </font>
    <font>
      <sz val="10"/>
      <name val="宋体"/>
      <charset val="134"/>
    </font>
    <font>
      <sz val="8.8"/>
      <color theme="1"/>
      <name val="Times New Roman"/>
      <charset val="134"/>
    </font>
    <font>
      <sz val="12"/>
      <color rgb="FF000000"/>
      <name val="Times New Roman"/>
      <charset val="134"/>
    </font>
    <font>
      <sz val="8"/>
      <color rgb="FF000000"/>
      <name val="Times New Roman"/>
      <charset val="134"/>
    </font>
    <font>
      <b/>
      <sz val="8"/>
      <color rgb="FF000000"/>
      <name val="Times New Roman"/>
      <charset val="134"/>
    </font>
    <font>
      <sz val="8.8"/>
      <name val="Times New Roman"/>
      <charset val="134"/>
    </font>
    <font>
      <sz val="8.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8.8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8.8"/>
      <color rgb="FF000000"/>
      <name val="宋体"/>
      <charset val="134"/>
    </font>
    <font>
      <u/>
      <sz val="8.8"/>
      <color rgb="FF000000"/>
      <name val="Times New Roman"/>
      <charset val="134"/>
    </font>
    <font>
      <sz val="1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15" applyNumberFormat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2" fillId="0" borderId="0">
      <alignment vertical="center"/>
    </xf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right" vertical="center"/>
    </xf>
    <xf numFmtId="0" fontId="5" fillId="2" borderId="3" xfId="0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8" fillId="0" borderId="1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0" borderId="0" xfId="50" applyFont="1">
      <alignment vertical="center"/>
    </xf>
    <xf numFmtId="0" fontId="2" fillId="0" borderId="0" xfId="50" applyFont="1">
      <alignment vertical="center"/>
    </xf>
    <xf numFmtId="0" fontId="2" fillId="0" borderId="0" xfId="50" applyFont="1" applyAlignment="1">
      <alignment vertical="center" wrapText="1"/>
    </xf>
    <xf numFmtId="0" fontId="0" fillId="0" borderId="0" xfId="50">
      <alignment vertical="center"/>
    </xf>
    <xf numFmtId="0" fontId="2" fillId="0" borderId="1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top" wrapText="1"/>
    </xf>
    <xf numFmtId="0" fontId="5" fillId="0" borderId="2" xfId="50" applyFont="1" applyBorder="1" applyAlignment="1">
      <alignment horizontal="right" vertical="center"/>
    </xf>
    <xf numFmtId="0" fontId="5" fillId="2" borderId="3" xfId="50" applyFont="1" applyFill="1" applyBorder="1" applyAlignment="1">
      <alignment horizontal="left" vertical="center" shrinkToFit="1"/>
    </xf>
    <xf numFmtId="0" fontId="6" fillId="2" borderId="3" xfId="50" applyFont="1" applyFill="1" applyBorder="1" applyAlignment="1">
      <alignment horizontal="center" vertical="center"/>
    </xf>
    <xf numFmtId="0" fontId="7" fillId="2" borderId="4" xfId="50" applyFont="1" applyFill="1" applyBorder="1" applyAlignment="1">
      <alignment horizontal="left" vertical="center"/>
    </xf>
    <xf numFmtId="0" fontId="8" fillId="0" borderId="1" xfId="50" applyFont="1" applyBorder="1" applyAlignment="1">
      <alignment horizontal="center" vertical="top" wrapText="1"/>
    </xf>
    <xf numFmtId="0" fontId="8" fillId="0" borderId="5" xfId="50" applyFont="1" applyBorder="1" applyAlignment="1">
      <alignment horizontal="center" vertical="top" wrapText="1"/>
    </xf>
    <xf numFmtId="0" fontId="9" fillId="0" borderId="1" xfId="50" applyFont="1" applyBorder="1" applyAlignment="1">
      <alignment horizontal="center" vertical="center" wrapText="1"/>
    </xf>
    <xf numFmtId="0" fontId="12" fillId="0" borderId="0" xfId="50" applyFont="1">
      <alignment vertical="center"/>
    </xf>
    <xf numFmtId="0" fontId="13" fillId="0" borderId="1" xfId="50" applyFont="1" applyBorder="1" applyAlignment="1">
      <alignment horizontal="center" vertical="center" wrapText="1"/>
    </xf>
    <xf numFmtId="0" fontId="14" fillId="0" borderId="2" xfId="50" applyFont="1" applyBorder="1" applyAlignment="1">
      <alignment horizontal="center" vertical="center" wrapText="1"/>
    </xf>
    <xf numFmtId="0" fontId="14" fillId="0" borderId="4" xfId="50" applyFont="1" applyBorder="1" applyAlignment="1">
      <alignment horizontal="center" vertical="center" wrapText="1"/>
    </xf>
    <xf numFmtId="0" fontId="14" fillId="0" borderId="1" xfId="50" applyFont="1" applyBorder="1" applyAlignment="1">
      <alignment horizontal="center" vertical="center" wrapText="1"/>
    </xf>
    <xf numFmtId="0" fontId="10" fillId="0" borderId="0" xfId="50" applyFont="1">
      <alignment vertical="center"/>
    </xf>
    <xf numFmtId="0" fontId="14" fillId="0" borderId="4" xfId="50" applyFont="1" applyBorder="1" applyAlignment="1">
      <alignment horizontal="center" vertical="center"/>
    </xf>
    <xf numFmtId="0" fontId="10" fillId="0" borderId="1" xfId="50" applyFont="1" applyBorder="1" applyAlignment="1">
      <alignment horizontal="center" vertical="center" wrapText="1"/>
    </xf>
    <xf numFmtId="0" fontId="10" fillId="0" borderId="2" xfId="50" applyFont="1" applyBorder="1" applyAlignment="1">
      <alignment horizontal="center" vertical="center"/>
    </xf>
    <xf numFmtId="0" fontId="10" fillId="0" borderId="4" xfId="50" applyFont="1" applyBorder="1" applyAlignment="1">
      <alignment horizontal="center" vertical="center"/>
    </xf>
    <xf numFmtId="0" fontId="10" fillId="0" borderId="1" xfId="50" applyFont="1" applyBorder="1" applyAlignment="1">
      <alignment vertical="center" wrapText="1"/>
    </xf>
    <xf numFmtId="0" fontId="10" fillId="0" borderId="2" xfId="50" applyFont="1" applyBorder="1" applyAlignment="1">
      <alignment horizontal="center" vertical="center" wrapText="1"/>
    </xf>
    <xf numFmtId="0" fontId="10" fillId="0" borderId="4" xfId="50" applyFont="1" applyBorder="1" applyAlignment="1">
      <alignment horizontal="center" vertical="center" wrapText="1"/>
    </xf>
    <xf numFmtId="0" fontId="10" fillId="0" borderId="1" xfId="50" applyFont="1" applyBorder="1">
      <alignment vertical="center"/>
    </xf>
    <xf numFmtId="0" fontId="2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18" fillId="2" borderId="3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334838</xdr:colOff>
      <xdr:row>0</xdr:row>
      <xdr:rowOff>28790</xdr:rowOff>
    </xdr:from>
    <xdr:ext cx="941495" cy="583645"/>
    <xdr:pic>
      <xdr:nvPicPr>
        <xdr:cNvPr id="2" name="图形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45" y="28575"/>
          <a:ext cx="941070" cy="583565"/>
        </a:xfrm>
        <a:prstGeom prst="rect">
          <a:avLst/>
        </a:prstGeom>
      </xdr:spPr>
    </xdr:pic>
    <xdr:clientData/>
  </xdr:oneCellAnchor>
  <xdr:twoCellAnchor editAs="oneCell">
    <xdr:from>
      <xdr:col>2</xdr:col>
      <xdr:colOff>333375</xdr:colOff>
      <xdr:row>4</xdr:row>
      <xdr:rowOff>15875</xdr:rowOff>
    </xdr:from>
    <xdr:to>
      <xdr:col>8</xdr:col>
      <xdr:colOff>1311573</xdr:colOff>
      <xdr:row>4</xdr:row>
      <xdr:rowOff>3714750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381125"/>
          <a:ext cx="6743065" cy="3698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334838</xdr:colOff>
      <xdr:row>0</xdr:row>
      <xdr:rowOff>28790</xdr:rowOff>
    </xdr:from>
    <xdr:ext cx="941495" cy="583645"/>
    <xdr:pic>
      <xdr:nvPicPr>
        <xdr:cNvPr id="2" name="图形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45" y="28575"/>
          <a:ext cx="941070" cy="583565"/>
        </a:xfrm>
        <a:prstGeom prst="rect">
          <a:avLst/>
        </a:prstGeom>
      </xdr:spPr>
    </xdr:pic>
    <xdr:clientData/>
  </xdr:oneCellAnchor>
  <xdr:twoCellAnchor editAs="oneCell">
    <xdr:from>
      <xdr:col>3</xdr:col>
      <xdr:colOff>793750</xdr:colOff>
      <xdr:row>4</xdr:row>
      <xdr:rowOff>127000</xdr:rowOff>
    </xdr:from>
    <xdr:to>
      <xdr:col>7</xdr:col>
      <xdr:colOff>431800</xdr:colOff>
      <xdr:row>4</xdr:row>
      <xdr:rowOff>3546475</xdr:rowOff>
    </xdr:to>
    <xdr:pic>
      <xdr:nvPicPr>
        <xdr:cNvPr id="4" name="图片 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1492250"/>
          <a:ext cx="3834765" cy="3419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334838</xdr:colOff>
      <xdr:row>0</xdr:row>
      <xdr:rowOff>28790</xdr:rowOff>
    </xdr:from>
    <xdr:ext cx="941495" cy="583645"/>
    <xdr:pic>
      <xdr:nvPicPr>
        <xdr:cNvPr id="2" name="图形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45" y="28575"/>
          <a:ext cx="941070" cy="58356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408997</xdr:colOff>
      <xdr:row>0</xdr:row>
      <xdr:rowOff>52904</xdr:rowOff>
    </xdr:from>
    <xdr:ext cx="870471" cy="539616"/>
    <xdr:pic>
      <xdr:nvPicPr>
        <xdr:cNvPr id="2" name="图形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940" y="52705"/>
          <a:ext cx="869950" cy="539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tabSelected="1" view="pageBreakPreview" zoomScaleNormal="100" workbookViewId="0">
      <selection activeCell="AF5" sqref="AF5"/>
    </sheetView>
  </sheetViews>
  <sheetFormatPr defaultColWidth="9" defaultRowHeight="14"/>
  <cols>
    <col min="1" max="1" width="5" customWidth="1"/>
    <col min="2" max="2" width="8" customWidth="1"/>
    <col min="3" max="3" width="13.0909090909091" customWidth="1"/>
    <col min="4" max="4" width="11.7272727272727" customWidth="1"/>
    <col min="5" max="5" width="5.44545454545455" customWidth="1"/>
    <col min="6" max="6" width="3.45454545454545" customWidth="1"/>
    <col min="7" max="7" width="4.63636363636364" customWidth="1"/>
    <col min="8" max="8" width="4.26363636363636" customWidth="1"/>
    <col min="9" max="9" width="3.45454545454545" customWidth="1"/>
    <col min="10" max="10" width="2.45454545454545" customWidth="1"/>
    <col min="11" max="11" width="11.7272727272727" customWidth="1"/>
    <col min="12" max="12" width="11.3636363636364" customWidth="1"/>
    <col min="13" max="13" width="14.0909090909091" customWidth="1"/>
    <col min="14" max="14" width="2.72727272727273" customWidth="1"/>
    <col min="15" max="15" width="13" customWidth="1"/>
    <col min="16" max="16" width="0.909090909090909" customWidth="1"/>
    <col min="17" max="17" width="5.09090909090909" customWidth="1"/>
    <col min="18" max="18" width="0.909090909090909" customWidth="1"/>
    <col min="19" max="19" width="8.36363636363636" customWidth="1"/>
    <col min="20" max="20" width="14.4454545454545" customWidth="1"/>
    <col min="22" max="25" width="9" hidden="1" customWidth="1"/>
    <col min="26" max="26" width="58.7272727272727" hidden="1" customWidth="1"/>
    <col min="27" max="29" width="9" hidden="1" customWidth="1"/>
  </cols>
  <sheetData>
    <row r="1" ht="25" customHeight="1" spans="1:26">
      <c r="A1" s="2" t="s">
        <v>0</v>
      </c>
      <c r="B1" s="54"/>
      <c r="C1" s="55"/>
      <c r="D1" s="3" t="s">
        <v>1</v>
      </c>
      <c r="E1" s="3"/>
      <c r="F1" s="3"/>
      <c r="G1" s="3"/>
      <c r="H1" s="3"/>
      <c r="I1" s="3"/>
      <c r="J1" s="3"/>
      <c r="K1" s="3"/>
      <c r="L1" s="3"/>
      <c r="M1" s="56" t="s">
        <v>2</v>
      </c>
      <c r="N1" s="57"/>
      <c r="O1" s="57"/>
      <c r="P1" s="57"/>
      <c r="Q1" s="57"/>
      <c r="R1" s="56" t="s">
        <v>3</v>
      </c>
      <c r="S1" s="56"/>
      <c r="T1" s="56"/>
    </row>
    <row r="2" ht="25" customHeight="1" spans="1:26">
      <c r="A2" s="58"/>
      <c r="B2" s="59"/>
      <c r="C2" s="60"/>
      <c r="D2" s="3"/>
      <c r="E2" s="3"/>
      <c r="F2" s="3"/>
      <c r="G2" s="3"/>
      <c r="H2" s="3"/>
      <c r="I2" s="3"/>
      <c r="J2" s="3"/>
      <c r="K2" s="3"/>
      <c r="L2" s="3"/>
      <c r="M2" s="61" t="s">
        <v>4</v>
      </c>
      <c r="N2" s="62" t="s">
        <v>5</v>
      </c>
      <c r="O2" s="62"/>
      <c r="P2" s="63" t="s">
        <v>6</v>
      </c>
      <c r="Q2" s="64" t="s">
        <v>7</v>
      </c>
      <c r="R2" s="65"/>
      <c r="S2" s="66"/>
      <c r="T2" s="66"/>
    </row>
    <row r="3" s="1" customFormat="1" ht="24" customHeight="1" spans="1:26">
      <c r="A3" s="67" t="s">
        <v>8</v>
      </c>
      <c r="B3" s="49" t="s">
        <v>9</v>
      </c>
      <c r="C3" s="49" t="s">
        <v>10</v>
      </c>
      <c r="D3" s="49" t="s">
        <v>11</v>
      </c>
      <c r="E3" s="49"/>
      <c r="F3" s="49"/>
      <c r="G3" s="49"/>
      <c r="H3" s="49"/>
      <c r="I3" s="49"/>
      <c r="J3" s="49"/>
      <c r="K3" s="49"/>
      <c r="L3" s="49"/>
      <c r="M3" s="67" t="s">
        <v>12</v>
      </c>
      <c r="N3" s="67"/>
      <c r="O3" s="49" t="s">
        <v>13</v>
      </c>
      <c r="P3" s="49" t="s">
        <v>14</v>
      </c>
      <c r="Q3" s="49"/>
      <c r="R3" s="49"/>
      <c r="S3" s="49"/>
      <c r="T3" s="49"/>
    </row>
    <row r="4" s="53" customFormat="1" ht="81.5" spans="1:26">
      <c r="A4" s="68">
        <v>10</v>
      </c>
      <c r="B4" s="69" t="str">
        <f>CONCATENATE(X4,CHAR(10),Y4)</f>
        <v>钣金领料
SM Incoming Inspection</v>
      </c>
      <c r="C4" s="68" t="s">
        <v>6</v>
      </c>
      <c r="D4" s="69" t="s">
        <v>15</v>
      </c>
      <c r="E4" s="69"/>
      <c r="F4" s="69"/>
      <c r="G4" s="69"/>
      <c r="H4" s="69"/>
      <c r="I4" s="69"/>
      <c r="J4" s="69"/>
      <c r="K4" s="69"/>
      <c r="L4" s="69"/>
      <c r="M4" s="70" t="s">
        <v>16</v>
      </c>
      <c r="N4" s="70"/>
      <c r="O4" s="71" t="s">
        <v>17</v>
      </c>
      <c r="P4" s="71" t="s">
        <v>18</v>
      </c>
      <c r="Q4" s="71"/>
      <c r="R4" s="71"/>
      <c r="S4" s="71"/>
      <c r="T4" s="71"/>
      <c r="X4" t="s">
        <v>19</v>
      </c>
      <c r="Y4" t="s">
        <v>20</v>
      </c>
      <c r="Z4" s="53" t="str">
        <f>D4</f>
        <v>按FT检查来料的牌号/状态、规格、批号和表面状态；
Inspect incoming material specification/condition, size, lot number and surface quality per FT;
材料代用单号：___________________
Material Substitution Sheet NO:</v>
      </c>
    </row>
    <row r="5" s="53" customFormat="1" ht="81.5" spans="1:26">
      <c r="A5" s="68">
        <v>20</v>
      </c>
      <c r="B5" s="69" t="str">
        <f t="shared" ref="B5:B10" si="0">CONCATENATE(X5,CHAR(10),Y5)</f>
        <v>法国数控叠料下料铣床钣金下料
NC Routing</v>
      </c>
      <c r="C5" s="68" t="s">
        <v>6</v>
      </c>
      <c r="D5" s="69" t="s">
        <v>21</v>
      </c>
      <c r="E5" s="69"/>
      <c r="F5" s="69"/>
      <c r="G5" s="69"/>
      <c r="H5" s="69"/>
      <c r="I5" s="69"/>
      <c r="J5" s="69"/>
      <c r="K5" s="69"/>
      <c r="L5" s="69"/>
      <c r="M5" s="70" t="s">
        <v>16</v>
      </c>
      <c r="N5" s="70"/>
      <c r="O5" s="71" t="s">
        <v>17</v>
      </c>
      <c r="P5" s="71" t="s">
        <v>18</v>
      </c>
      <c r="Q5" s="71"/>
      <c r="R5" s="71"/>
      <c r="S5" s="71"/>
      <c r="T5" s="71"/>
      <c r="X5" t="s">
        <v>22</v>
      </c>
      <c r="Y5" t="s">
        <v>23</v>
      </c>
      <c r="Z5" s="53" t="str">
        <f t="shared" ref="Z5:Z7" si="1">D5</f>
        <v>按照AIPS03-11-001及XA-OI-0310-01使用数控下料铣铣制外形及孔(参照草图1)，展开数据集E53234023200-01。
Milling the profile and hole according to AIPS03-11-001 and XA-OI-0310-01(See sketch 1), unfolded data E53234023200-01.</v>
      </c>
    </row>
    <row r="6" s="53" customFormat="1" ht="81.5" spans="1:26">
      <c r="A6" s="68">
        <v>30</v>
      </c>
      <c r="B6" s="69" t="str">
        <f t="shared" si="0"/>
        <v>钣金钳工（新）
Benchwork</v>
      </c>
      <c r="C6" s="68" t="s">
        <v>24</v>
      </c>
      <c r="D6" s="69" t="s">
        <v>25</v>
      </c>
      <c r="E6" s="69"/>
      <c r="F6" s="69"/>
      <c r="G6" s="69"/>
      <c r="H6" s="69"/>
      <c r="I6" s="69"/>
      <c r="J6" s="69"/>
      <c r="K6" s="69"/>
      <c r="L6" s="69"/>
      <c r="M6" s="70" t="s">
        <v>16</v>
      </c>
      <c r="N6" s="70"/>
      <c r="O6" s="71" t="s">
        <v>17</v>
      </c>
      <c r="P6" s="71" t="s">
        <v>18</v>
      </c>
      <c r="Q6" s="71"/>
      <c r="R6" s="71"/>
      <c r="S6" s="71"/>
      <c r="T6" s="71"/>
      <c r="X6" t="s">
        <v>26</v>
      </c>
      <c r="Y6" t="s">
        <v>27</v>
      </c>
      <c r="Z6" s="53" t="str">
        <f t="shared" si="1"/>
        <v>按文件ADET0031和XA-OI-0311-01去除零件毛刺。
Deburring around the edge of the part  according to ADET0031 and XA-OI-0311-01.</v>
      </c>
    </row>
    <row r="7" s="53" customFormat="1" ht="81.5" spans="1:26">
      <c r="A7" s="68">
        <v>40</v>
      </c>
      <c r="B7" s="69" t="str">
        <f t="shared" si="0"/>
        <v>钣金下料检验
SM inspection</v>
      </c>
      <c r="C7" s="68" t="s">
        <v>24</v>
      </c>
      <c r="D7" s="69" t="s">
        <v>28</v>
      </c>
      <c r="E7" s="69"/>
      <c r="F7" s="69"/>
      <c r="G7" s="69"/>
      <c r="H7" s="69"/>
      <c r="I7" s="69"/>
      <c r="J7" s="69"/>
      <c r="K7" s="69"/>
      <c r="L7" s="69"/>
      <c r="M7" s="70" t="s">
        <v>16</v>
      </c>
      <c r="N7" s="70"/>
      <c r="O7" s="71" t="s">
        <v>29</v>
      </c>
      <c r="P7" s="71" t="s">
        <v>30</v>
      </c>
      <c r="Q7" s="71"/>
      <c r="R7" s="71"/>
      <c r="S7" s="71"/>
      <c r="T7" s="71"/>
      <c r="X7" t="s">
        <v>31</v>
      </c>
      <c r="Y7" t="s">
        <v>32</v>
      </c>
      <c r="Z7" s="53" t="str">
        <f t="shared" si="1"/>
        <v>1、按XA-QI-0314 进行手工测量;
Semi-Finished Inspection per XA-QI-0314</v>
      </c>
    </row>
    <row r="8" s="53" customFormat="1" ht="72" customHeight="1" spans="1:26">
      <c r="A8" s="68">
        <v>50</v>
      </c>
      <c r="B8" s="69" t="str">
        <f t="shared" si="0"/>
        <v>通用铝合金手工清洗
Cleaning of aluminum alloys</v>
      </c>
      <c r="C8" s="68" t="s">
        <v>6</v>
      </c>
      <c r="D8" s="69" t="s">
        <v>33</v>
      </c>
      <c r="E8" s="69"/>
      <c r="F8" s="69"/>
      <c r="G8" s="69"/>
      <c r="H8" s="69"/>
      <c r="I8" s="69"/>
      <c r="J8" s="69"/>
      <c r="K8" s="69"/>
      <c r="L8" s="69"/>
      <c r="M8" s="70" t="s">
        <v>16</v>
      </c>
      <c r="N8" s="70"/>
      <c r="O8" s="71" t="s">
        <v>17</v>
      </c>
      <c r="P8" s="71" t="s">
        <v>18</v>
      </c>
      <c r="Q8" s="71"/>
      <c r="R8" s="71"/>
      <c r="S8" s="71"/>
      <c r="T8" s="71"/>
      <c r="X8" t="s">
        <v>34</v>
      </c>
      <c r="Y8" t="s">
        <v>35</v>
      </c>
      <c r="Z8" s="53" t="str">
        <f t="shared" ref="Z8:Z20" si="2">D8</f>
        <v>清洗按照XA-OI-0401/AIPI09-01-002进行;
Cleaning of aluminum alloys  Cleaning per XA-OI-0401/AIPI09-01-002</v>
      </c>
    </row>
    <row r="9" s="53" customFormat="1" ht="126.75" customHeight="1" spans="1:26">
      <c r="A9" s="68">
        <v>60</v>
      </c>
      <c r="B9" s="69" t="str">
        <f t="shared" si="0"/>
        <v>AIPS/AIPI铝合金的固溶
Solution</v>
      </c>
      <c r="C9" s="68" t="s">
        <v>6</v>
      </c>
      <c r="D9" s="69" t="s">
        <v>36</v>
      </c>
      <c r="E9" s="69"/>
      <c r="F9" s="69"/>
      <c r="G9" s="69"/>
      <c r="H9" s="69"/>
      <c r="I9" s="69"/>
      <c r="J9" s="69"/>
      <c r="K9" s="69"/>
      <c r="L9" s="69"/>
      <c r="M9" s="70" t="s">
        <v>16</v>
      </c>
      <c r="N9" s="70"/>
      <c r="O9" s="71" t="s">
        <v>17</v>
      </c>
      <c r="P9" s="71" t="s">
        <v>18</v>
      </c>
      <c r="Q9" s="71"/>
      <c r="R9" s="71"/>
      <c r="S9" s="71"/>
      <c r="T9" s="71"/>
      <c r="X9" t="s">
        <v>37</v>
      </c>
      <c r="Y9" t="s">
        <v>38</v>
      </c>
      <c r="Z9" s="53" t="str">
        <f t="shared" si="2"/>
        <v>1.按文件XA-OI-0401和AIPI04-01-001进行固溶处理，将零件处理到W状态。保温温度为(495±5)℃，保温时间(35±5)min，淬火水温15℃～32℃，淬火过程水温不超过10℃，淬火后，水温≤37.8℃，淬火转移时间≤10秒。调用编号0020程序
Solution treatment to “W” condition according to XA-OI-0401 and AIPI04-01-001. Temperature is (495±5)℃, soaking time is(35±5)min, quenching in water and initial water temperature is in a range of 15℃～32℃, water temperature shall not rise by more than 10℃ and final temperature less than 37.8℃, maximum quench delay is 10 seconds.Call program No. 0020.
2.按文件XA-QI-0401进行检验。
Inspect according to XA-QI-0401.</v>
      </c>
    </row>
    <row r="10" s="53" customFormat="1" ht="81.5" spans="1:26">
      <c r="A10" s="68">
        <v>70</v>
      </c>
      <c r="B10" s="69" t="str">
        <f t="shared" si="0"/>
        <v>通用冷藏
Refrigerate</v>
      </c>
      <c r="C10" s="68" t="s">
        <v>6</v>
      </c>
      <c r="D10" s="69" t="s">
        <v>39</v>
      </c>
      <c r="E10" s="69"/>
      <c r="F10" s="69"/>
      <c r="G10" s="69"/>
      <c r="H10" s="69"/>
      <c r="I10" s="69"/>
      <c r="J10" s="69"/>
      <c r="K10" s="69"/>
      <c r="L10" s="69"/>
      <c r="M10" s="70" t="s">
        <v>16</v>
      </c>
      <c r="N10" s="70"/>
      <c r="O10" s="71" t="s">
        <v>17</v>
      </c>
      <c r="P10" s="71" t="s">
        <v>18</v>
      </c>
      <c r="Q10" s="71"/>
      <c r="R10" s="71"/>
      <c r="S10" s="71"/>
      <c r="T10" s="71"/>
      <c r="X10" t="s">
        <v>40</v>
      </c>
      <c r="Y10" t="s">
        <v>41</v>
      </c>
      <c r="Z10" s="53" t="str">
        <f t="shared" ref="Z10" si="3">D10</f>
        <v>1.按文件XA-OI-0401进行冷藏，并在冷藏记录和“W状态成形/校形记录”中填写质量记录。
Refrigerated storage parts according to XA-OI-0401，and fill the quality records in refrigeration record and “W” Condition Forming/Straightening Record.
2.按文件XA-QI-0401进行检验。
Inspect according to XA-QI-0401.</v>
      </c>
    </row>
    <row r="11" s="53" customFormat="1" ht="81.5" spans="1:26">
      <c r="A11" s="68">
        <v>80</v>
      </c>
      <c r="B11" s="69" t="str">
        <f t="shared" ref="B11:B20" si="4">CONCATENATE(X11,CHAR(10),Y11)</f>
        <v>橡皮囊液压成型机液压
Hydraulic Forming</v>
      </c>
      <c r="C11" s="68" t="s">
        <v>42</v>
      </c>
      <c r="D11" s="69" t="s">
        <v>43</v>
      </c>
      <c r="E11" s="69"/>
      <c r="F11" s="69"/>
      <c r="G11" s="69"/>
      <c r="H11" s="69"/>
      <c r="I11" s="69"/>
      <c r="J11" s="69"/>
      <c r="K11" s="69"/>
      <c r="L11" s="69"/>
      <c r="M11" s="70" t="s">
        <v>16</v>
      </c>
      <c r="N11" s="70"/>
      <c r="O11" s="71" t="s">
        <v>17</v>
      </c>
      <c r="P11" s="71" t="s">
        <v>18</v>
      </c>
      <c r="Q11" s="71"/>
      <c r="R11" s="71"/>
      <c r="S11" s="71"/>
      <c r="T11" s="71"/>
      <c r="X11" t="s">
        <v>44</v>
      </c>
      <c r="Y11" t="s">
        <v>45</v>
      </c>
      <c r="Z11" s="53" t="str">
        <f t="shared" si="2"/>
        <v>按文件AIPS 03-10-005以及 XA-OI-0312-02，根据草图1将展开料液压成形，符合图纸的要求。
Hydraulic forming the developed material according to AIPS 03-10-005 and XA-OI-0312-02 to meet the requirements of drawing. See sketch 1.</v>
      </c>
    </row>
    <row r="12" s="53" customFormat="1" ht="104.25" customHeight="1" spans="1:26">
      <c r="A12" s="68">
        <v>90</v>
      </c>
      <c r="B12" s="69" t="str">
        <f t="shared" si="4"/>
        <v>钣金校形
Dress</v>
      </c>
      <c r="C12" s="68" t="s">
        <v>24</v>
      </c>
      <c r="D12" s="69" t="s">
        <v>46</v>
      </c>
      <c r="E12" s="69"/>
      <c r="F12" s="69"/>
      <c r="G12" s="69"/>
      <c r="H12" s="69"/>
      <c r="I12" s="69"/>
      <c r="J12" s="69"/>
      <c r="K12" s="69"/>
      <c r="L12" s="69"/>
      <c r="M12" s="70" t="s">
        <v>16</v>
      </c>
      <c r="N12" s="70"/>
      <c r="O12" s="71" t="s">
        <v>17</v>
      </c>
      <c r="P12" s="71" t="s">
        <v>18</v>
      </c>
      <c r="Q12" s="71"/>
      <c r="R12" s="71"/>
      <c r="S12" s="71"/>
      <c r="T12" s="71"/>
      <c r="X12" t="s">
        <v>47</v>
      </c>
      <c r="Y12" t="s">
        <v>48</v>
      </c>
      <c r="Z12" s="53" t="str">
        <f t="shared" si="2"/>
        <v>淬火后，零件在-1℃～37.8℃保持W状态的最长时间为30分钟。冷藏温度在-18℃以下，保存时间不能超过7天。在“W状态成形/校形记录”中填写质量记录。
Reach -1℃ to 37.8℃ after quenching, maximum time held in w condition is 30min. Storage temperature below -18℃ and storage time is less than 7 days. Fill the quality record in “W” Condition Forming/Straightening Record.
按文件AIPS 03-10-005及XA-OI-0312-01校形零件，符合图纸及公差要求；
Straightening  parts according to AIPS 03-10-005  and XA-OI-0312-01to meet the requirments of drawing and tolerance.</v>
      </c>
    </row>
    <row r="13" s="53" customFormat="1" ht="72" customHeight="1" spans="1:26">
      <c r="A13" s="68">
        <v>100</v>
      </c>
      <c r="B13" s="69" t="str">
        <f t="shared" si="4"/>
        <v>钣金成型检验
SM inspection</v>
      </c>
      <c r="C13" s="68" t="s">
        <v>24</v>
      </c>
      <c r="D13" s="69" t="s">
        <v>49</v>
      </c>
      <c r="E13" s="69"/>
      <c r="F13" s="69"/>
      <c r="G13" s="69"/>
      <c r="H13" s="69"/>
      <c r="I13" s="69"/>
      <c r="J13" s="69"/>
      <c r="K13" s="69"/>
      <c r="L13" s="69"/>
      <c r="M13" s="70" t="s">
        <v>16</v>
      </c>
      <c r="N13" s="70"/>
      <c r="O13" s="71" t="s">
        <v>29</v>
      </c>
      <c r="P13" s="71" t="s">
        <v>30</v>
      </c>
      <c r="Q13" s="71"/>
      <c r="R13" s="71"/>
      <c r="S13" s="71"/>
      <c r="T13" s="71"/>
      <c r="X13" t="s">
        <v>50</v>
      </c>
      <c r="Y13" t="s">
        <v>32</v>
      </c>
      <c r="Z13" s="53" t="str">
        <f t="shared" si="2"/>
        <v>1、按XA-QI-0315 进行手工测量;
Semi-Finished Inspection per XA-QI-0315;</v>
      </c>
    </row>
    <row r="14" s="53" customFormat="1" ht="94.5" customHeight="1" spans="1:26">
      <c r="A14" s="68">
        <v>110</v>
      </c>
      <c r="B14" s="69" t="str">
        <f t="shared" si="4"/>
        <v>电导率
Electrical Conductivity Test</v>
      </c>
      <c r="C14" s="68" t="s">
        <v>6</v>
      </c>
      <c r="D14" s="69" t="s">
        <v>51</v>
      </c>
      <c r="E14" s="69"/>
      <c r="F14" s="69"/>
      <c r="G14" s="69"/>
      <c r="H14" s="69"/>
      <c r="I14" s="69"/>
      <c r="J14" s="69"/>
      <c r="K14" s="69"/>
      <c r="L14" s="69"/>
      <c r="M14" s="70" t="s">
        <v>16</v>
      </c>
      <c r="N14" s="70"/>
      <c r="O14" s="71" t="s">
        <v>29</v>
      </c>
      <c r="P14" s="71" t="s">
        <v>30</v>
      </c>
      <c r="Q14" s="71"/>
      <c r="R14" s="71"/>
      <c r="S14" s="71"/>
      <c r="T14" s="71"/>
      <c r="X14" t="s">
        <v>52</v>
      </c>
      <c r="Y14" t="s">
        <v>53</v>
      </c>
      <c r="Z14" s="53" t="str">
        <f t="shared" si="2"/>
        <v>在室温（15℃～40℃）保持至少96小时自然时效至T42状态后，按照XA-Lab-2301和AITM6-6004在有效测试区域内进行电导率测试，电导率满足 ：（16.5-21.5）MS/m。
After natural aging at RT (15℃～40℃) for 96 hours minimum to T42 temper, electrical Conductivity Test in the effective test area as per XA-Lab-2301 and AITM6-6004, test value shall meet the requirement：（16.5-21.5）MS/m.
测试结果/Test value:________________________
测试时间/Operating time: ________________________</v>
      </c>
    </row>
    <row r="15" s="53" customFormat="1" ht="144" customHeight="1" spans="1:26">
      <c r="A15" s="68">
        <v>120</v>
      </c>
      <c r="B15" s="69" t="str">
        <f t="shared" si="4"/>
        <v>AIPS/AIPI酒石酸硫酸阳极化紧公差不封闭
AIPS/AIPI unsealed TSA for tight dimensional tolerance</v>
      </c>
      <c r="C15" s="68" t="s">
        <v>6</v>
      </c>
      <c r="D15" s="69" t="s">
        <v>54</v>
      </c>
      <c r="E15" s="69"/>
      <c r="F15" s="69"/>
      <c r="G15" s="69"/>
      <c r="H15" s="69"/>
      <c r="I15" s="69"/>
      <c r="J15" s="69"/>
      <c r="K15" s="69"/>
      <c r="L15" s="69"/>
      <c r="M15" s="70" t="s">
        <v>55</v>
      </c>
      <c r="N15" s="70"/>
      <c r="O15" s="71" t="s">
        <v>17</v>
      </c>
      <c r="P15" s="71" t="s">
        <v>18</v>
      </c>
      <c r="Q15" s="71"/>
      <c r="R15" s="71"/>
      <c r="S15" s="71"/>
      <c r="T15" s="71"/>
      <c r="X15" t="s">
        <v>56</v>
      </c>
      <c r="Y15" t="s">
        <v>57</v>
      </c>
      <c r="Z15" s="53" t="str">
        <f t="shared" si="2"/>
        <v>1、按照XA-OI-0201-03/AIPS 02-01-003文件要求，执行K7程序进行非紧公差、不封闭的酒石酸阳极化处理，在质量记录一列记录生产记录编号；
Perform unsealed TSA of aluminum alloys for no tight dimensional tolerance per K7 program according to XA-OI-0201-03/AIPS 02-01-003, fill the production record No. in the quality record column.
2、按照XA-QI-0201文件要求进行质量检验。
Quality inspection per XA-QI-0201.</v>
      </c>
    </row>
    <row r="16" s="53" customFormat="1" ht="129.75" customHeight="1" spans="1:26">
      <c r="A16" s="68">
        <v>130</v>
      </c>
      <c r="B16" s="69" t="str">
        <f t="shared" si="4"/>
        <v>AIPS/AIPI喷P60-A底漆
AIPS/AIPI P60-A primer painting</v>
      </c>
      <c r="C16" s="68" t="s">
        <v>6</v>
      </c>
      <c r="D16" s="69" t="s">
        <v>58</v>
      </c>
      <c r="E16" s="69"/>
      <c r="F16" s="69"/>
      <c r="G16" s="69"/>
      <c r="H16" s="69"/>
      <c r="I16" s="69"/>
      <c r="J16" s="69"/>
      <c r="K16" s="69"/>
      <c r="L16" s="69"/>
      <c r="M16" s="70" t="s">
        <v>55</v>
      </c>
      <c r="N16" s="70"/>
      <c r="O16" s="71" t="s">
        <v>17</v>
      </c>
      <c r="P16" s="71" t="s">
        <v>18</v>
      </c>
      <c r="Q16" s="71"/>
      <c r="R16" s="71"/>
      <c r="S16" s="71"/>
      <c r="T16" s="71"/>
      <c r="X16" t="s">
        <v>59</v>
      </c>
      <c r="Y16" t="s">
        <v>60</v>
      </c>
      <c r="Z16" s="53" t="str">
        <f t="shared" si="2"/>
        <v>1、阳极化后24小时之内，按照文件XA-OI-0501-03/AIPS 05-02-009文件要求，喷涂P60-A底漆，在质量记录一列记录喷漆记录编号及漆膜厚度范围值；
P60-A primer painting per XA-OI-0501-03/AIPS 05-02-009 within 24 hours after anodizing, fill the painting record No. in the quality record column and record film thickness range.
2、按照XA-QI-0501-03文件要求进行质量检验。
Quality inspection per XA-QI-0501-03.
漆膜厚度要求值：15-25μm
Film thickness value range shall be 15-25μm
记录漆膜厚度范围值/ record the range of dry film thickness：_________________________</v>
      </c>
    </row>
    <row r="17" s="53" customFormat="1" ht="126.75" customHeight="1" spans="1:26">
      <c r="A17" s="68">
        <v>140</v>
      </c>
      <c r="B17" s="69" t="str">
        <f t="shared" si="4"/>
        <v>AIPS/AIPI喷F70-A面漆
AIPS/AIPI F70-A topcoat painting</v>
      </c>
      <c r="C17" s="68" t="s">
        <v>6</v>
      </c>
      <c r="D17" s="69" t="s">
        <v>61</v>
      </c>
      <c r="E17" s="69"/>
      <c r="F17" s="69"/>
      <c r="G17" s="69"/>
      <c r="H17" s="69"/>
      <c r="I17" s="69"/>
      <c r="J17" s="69"/>
      <c r="K17" s="69"/>
      <c r="L17" s="69"/>
      <c r="M17" s="70" t="s">
        <v>55</v>
      </c>
      <c r="N17" s="70"/>
      <c r="O17" s="71" t="s">
        <v>17</v>
      </c>
      <c r="P17" s="71" t="s">
        <v>18</v>
      </c>
      <c r="Q17" s="71"/>
      <c r="R17" s="71"/>
      <c r="S17" s="71"/>
      <c r="T17" s="71"/>
      <c r="X17" t="s">
        <v>62</v>
      </c>
      <c r="Y17" t="s">
        <v>63</v>
      </c>
      <c r="Z17" s="53" t="str">
        <f t="shared" si="2"/>
        <v>1、底漆喷涂后48小时内，按照文件XA-OI-0501-04/AIPS 05-02-009文件要求，喷涂F70-A面漆，在质量记录一列记录喷漆记录编号及漆膜厚度范围值；
F70-A topcoat painting per XA-OI-0501-04/AIPS 05-02-009 within 48 hours after primer painting, fill the painting record No. in the quality record column and record film thickness range.
2、按照XA-QI-0501-04文件要求进行质量检验。
Quality inspection per XA-QI-0501-04.
漆膜厚度要求值：20-30μm
Film thickness value range shall be 20-30μm
记录漆膜厚度范围值/ record the range of dry film thickness：_________________________</v>
      </c>
    </row>
    <row r="18" s="53" customFormat="1" ht="75.75" customHeight="1" spans="1:26">
      <c r="A18" s="68">
        <v>150</v>
      </c>
      <c r="B18" s="69" t="str">
        <f t="shared" si="4"/>
        <v>喷码
Marking</v>
      </c>
      <c r="C18" s="68" t="s">
        <v>6</v>
      </c>
      <c r="D18" s="69" t="s">
        <v>64</v>
      </c>
      <c r="E18" s="69"/>
      <c r="F18" s="69"/>
      <c r="G18" s="69"/>
      <c r="H18" s="69"/>
      <c r="I18" s="69"/>
      <c r="J18" s="69"/>
      <c r="K18" s="69"/>
      <c r="L18" s="69"/>
      <c r="M18" s="70" t="s">
        <v>16</v>
      </c>
      <c r="N18" s="70"/>
      <c r="O18" s="71" t="s">
        <v>17</v>
      </c>
      <c r="P18" s="71" t="s">
        <v>18</v>
      </c>
      <c r="Q18" s="71"/>
      <c r="R18" s="71"/>
      <c r="S18" s="71"/>
      <c r="T18" s="71"/>
      <c r="X18" t="s">
        <v>65</v>
      </c>
      <c r="Y18" t="s">
        <v>66</v>
      </c>
      <c r="Z18" s="53" t="str">
        <f t="shared" si="2"/>
        <v>使用喷码机在草图1所示位置喷涂零件标识，按ABD0003/AIPS-08-01-001/XA-OI-0801-02执行。
Use inkjet paint the part at the position where sketch1 indicated, operated as is seen in XA-OI-0801-02.
检验要求见XA-QI-0801-02。
The inspection requirement is in ABD0003/AIPS-08-01-001/XA-QI-0801-02.</v>
      </c>
    </row>
    <row r="19" s="53" customFormat="1" ht="81.5" spans="1:26">
      <c r="A19" s="68">
        <v>160</v>
      </c>
      <c r="B19" s="69" t="str">
        <f t="shared" si="4"/>
        <v>零件终检
Final Inspection</v>
      </c>
      <c r="C19" s="68" t="s">
        <v>24</v>
      </c>
      <c r="D19" s="69" t="s">
        <v>67</v>
      </c>
      <c r="E19" s="69"/>
      <c r="F19" s="69"/>
      <c r="G19" s="69"/>
      <c r="H19" s="69"/>
      <c r="I19" s="69"/>
      <c r="J19" s="69"/>
      <c r="K19" s="69"/>
      <c r="L19" s="69"/>
      <c r="M19" s="70" t="s">
        <v>16</v>
      </c>
      <c r="N19" s="70"/>
      <c r="O19" s="71" t="s">
        <v>29</v>
      </c>
      <c r="P19" s="71" t="s">
        <v>18</v>
      </c>
      <c r="Q19" s="71"/>
      <c r="R19" s="71"/>
      <c r="S19" s="71"/>
      <c r="T19" s="71"/>
      <c r="X19" t="s">
        <v>68</v>
      </c>
      <c r="Y19" t="s">
        <v>69</v>
      </c>
      <c r="Z19" s="53" t="str">
        <f t="shared" si="2"/>
        <v>1、按XA-QI-0313终检;
Final Inspection per XA-QI-0313;
2、开具合格证，在质量记录一列记录合格证编号;
Issue Certificate and record in the Quality Record column。</v>
      </c>
    </row>
    <row r="20" s="53" customFormat="1" ht="81.5" spans="1:26">
      <c r="A20" s="68">
        <v>170</v>
      </c>
      <c r="B20" s="69" t="str">
        <f t="shared" si="4"/>
        <v>成品入库
Storage</v>
      </c>
      <c r="C20" s="68" t="s">
        <v>6</v>
      </c>
      <c r="D20" s="69" t="s">
        <v>70</v>
      </c>
      <c r="E20" s="69"/>
      <c r="F20" s="69"/>
      <c r="G20" s="69"/>
      <c r="H20" s="69"/>
      <c r="I20" s="69"/>
      <c r="J20" s="69"/>
      <c r="K20" s="69"/>
      <c r="L20" s="69"/>
      <c r="M20" s="70" t="s">
        <v>16</v>
      </c>
      <c r="N20" s="70"/>
      <c r="O20" s="71" t="s">
        <v>17</v>
      </c>
      <c r="P20" s="71" t="s">
        <v>18</v>
      </c>
      <c r="Q20" s="71"/>
      <c r="R20" s="71"/>
      <c r="S20" s="71"/>
      <c r="T20" s="71"/>
      <c r="X20" t="s">
        <v>71</v>
      </c>
      <c r="Y20" t="s">
        <v>72</v>
      </c>
      <c r="Z20" s="53" t="str">
        <f t="shared" si="2"/>
        <v>按XA-OI-1001-01将零件放入聚乙烯薄膜袋中并塑封，将零件移交至零件库房，做好零件入库记录，本记录交由品质部归档。
Place parts in polyethylene bags and sealed according to XA-OI-1001-01,transfer the parts to partswarehouse,complete in-stock record,transfer the Traveler to Quality Department.</v>
      </c>
    </row>
  </sheetData>
  <sheetProtection formatCells="0" formatColumns="0" formatRows="0" insertRows="0" deleteRows="0" sort="0" autoFilter="0"/>
  <mergeCells count="60">
    <mergeCell ref="M1:Q1"/>
    <mergeCell ref="R1:T1"/>
    <mergeCell ref="N2:O2"/>
    <mergeCell ref="R2:T2"/>
    <mergeCell ref="D3:L3"/>
    <mergeCell ref="M3:N3"/>
    <mergeCell ref="P3:T3"/>
    <mergeCell ref="D4:L4"/>
    <mergeCell ref="M4:N4"/>
    <mergeCell ref="P4:T4"/>
    <mergeCell ref="D5:L5"/>
    <mergeCell ref="M5:N5"/>
    <mergeCell ref="P5:T5"/>
    <mergeCell ref="D6:L6"/>
    <mergeCell ref="M6:N6"/>
    <mergeCell ref="P6:T6"/>
    <mergeCell ref="D7:L7"/>
    <mergeCell ref="M7:N7"/>
    <mergeCell ref="P7:T7"/>
    <mergeCell ref="D8:L8"/>
    <mergeCell ref="M8:N8"/>
    <mergeCell ref="P8:T8"/>
    <mergeCell ref="D9:L9"/>
    <mergeCell ref="M9:N9"/>
    <mergeCell ref="P9:T9"/>
    <mergeCell ref="D10:L10"/>
    <mergeCell ref="M10:N10"/>
    <mergeCell ref="P10:T10"/>
    <mergeCell ref="D11:L11"/>
    <mergeCell ref="M11:N11"/>
    <mergeCell ref="P11:T11"/>
    <mergeCell ref="D12:L12"/>
    <mergeCell ref="M12:N12"/>
    <mergeCell ref="P12:T12"/>
    <mergeCell ref="D13:L13"/>
    <mergeCell ref="M13:N13"/>
    <mergeCell ref="P13:T13"/>
    <mergeCell ref="D14:L14"/>
    <mergeCell ref="M14:N14"/>
    <mergeCell ref="P14:T14"/>
    <mergeCell ref="D15:L15"/>
    <mergeCell ref="M15:N15"/>
    <mergeCell ref="P15:T15"/>
    <mergeCell ref="D16:L16"/>
    <mergeCell ref="M16:N16"/>
    <mergeCell ref="P16:T16"/>
    <mergeCell ref="D17:L17"/>
    <mergeCell ref="M17:N17"/>
    <mergeCell ref="P17:T17"/>
    <mergeCell ref="D18:L18"/>
    <mergeCell ref="M18:N18"/>
    <mergeCell ref="P18:T18"/>
    <mergeCell ref="D19:L19"/>
    <mergeCell ref="M19:N19"/>
    <mergeCell ref="P19:T19"/>
    <mergeCell ref="D20:L20"/>
    <mergeCell ref="M20:N20"/>
    <mergeCell ref="P20:T20"/>
    <mergeCell ref="A1:C2"/>
    <mergeCell ref="D1:L2"/>
  </mergeCells>
  <printOptions horizontalCentered="1"/>
  <pageMargins left="0.15748031496063" right="0.15748031496063" top="0.748031496062992" bottom="0.47244094488189" header="0.31496062992126" footer="0.31496062992126"/>
  <pageSetup paperSize="9" scale="35" fitToWidth="0" orientation="landscape"/>
  <headerFooter>
    <oddFooter>&amp;L★ F010204-01[6] 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view="pageBreakPreview" zoomScale="115" zoomScaleNormal="115" workbookViewId="0">
      <selection activeCell="N5" sqref="N5"/>
    </sheetView>
  </sheetViews>
  <sheetFormatPr defaultColWidth="8.72727272727273" defaultRowHeight="14" outlineLevelRow="5"/>
  <cols>
    <col min="1" max="5" width="11.7272727272727" style="9" customWidth="1"/>
    <col min="6" max="6" width="21.2636363636364" style="9" customWidth="1"/>
    <col min="7" max="7" width="15.3636363636364" style="47" customWidth="1"/>
    <col min="8" max="8" width="10.7272727272727" style="9" customWidth="1"/>
    <col min="9" max="9" width="25.6363636363636" style="9" customWidth="1"/>
    <col min="10" max="10" width="1.63636363636364" style="9" customWidth="1"/>
    <col min="11" max="11" width="8.44545454545455" style="9" customWidth="1"/>
    <col min="12" max="12" width="8.36363636363636" customWidth="1"/>
  </cols>
  <sheetData>
    <row r="1" ht="25" customHeight="1" spans="1:12">
      <c r="A1" s="2"/>
      <c r="B1" s="2"/>
      <c r="C1" s="3" t="s">
        <v>1</v>
      </c>
      <c r="D1" s="3"/>
      <c r="E1" s="3"/>
      <c r="F1" s="3"/>
      <c r="G1" s="4" t="s">
        <v>73</v>
      </c>
      <c r="H1" s="5" t="s">
        <v>74</v>
      </c>
      <c r="I1" s="6" t="e">
        <f>首页及工序页!#REF!</f>
        <v>#REF!</v>
      </c>
      <c r="J1" s="7" t="s">
        <v>6</v>
      </c>
      <c r="K1" s="8" t="e">
        <f>首页及工序页!#REF!</f>
        <v>#REF!</v>
      </c>
      <c r="L1" s="9"/>
    </row>
    <row r="2" ht="30" customHeight="1" spans="1:12">
      <c r="A2" s="2"/>
      <c r="B2" s="2"/>
      <c r="C2" s="3"/>
      <c r="D2" s="3"/>
      <c r="E2" s="3"/>
      <c r="F2" s="3"/>
      <c r="G2" s="4" t="s">
        <v>75</v>
      </c>
      <c r="H2" s="10"/>
      <c r="I2" s="10"/>
      <c r="J2" s="11"/>
      <c r="K2" s="11"/>
      <c r="L2" s="9"/>
    </row>
    <row r="3" ht="25.5" customHeight="1" spans="1:12">
      <c r="A3" s="51"/>
      <c r="B3" s="12"/>
      <c r="C3" s="12"/>
      <c r="D3" s="12"/>
      <c r="E3" s="12"/>
      <c r="F3" s="12"/>
      <c r="G3" s="12"/>
      <c r="H3" s="12"/>
      <c r="I3" s="12"/>
      <c r="J3" s="12"/>
      <c r="K3" s="12"/>
      <c r="L3" s="48"/>
    </row>
    <row r="4" ht="27" customHeight="1" spans="1:12">
      <c r="A4" s="49" t="s">
        <v>76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9"/>
    </row>
    <row r="5" ht="297" customHeight="1" spans="1:12">
      <c r="A5" s="16" t="s">
        <v>77</v>
      </c>
      <c r="B5" s="2"/>
      <c r="C5" s="2"/>
      <c r="D5" s="2"/>
      <c r="E5" s="2"/>
      <c r="F5" s="2"/>
      <c r="G5" s="2"/>
      <c r="H5" s="2"/>
      <c r="I5" s="2"/>
      <c r="J5" s="2"/>
      <c r="K5" s="2"/>
      <c r="L5" s="9"/>
    </row>
    <row r="6" ht="23.15" customHeight="1" spans="1:12">
      <c r="A6" s="52" t="s">
        <v>78</v>
      </c>
      <c r="B6" s="50" t="s">
        <v>79</v>
      </c>
      <c r="C6" s="50"/>
      <c r="D6" s="50"/>
      <c r="E6" s="50"/>
      <c r="F6" s="50"/>
      <c r="G6" s="50"/>
      <c r="H6" s="50"/>
      <c r="I6" s="50"/>
      <c r="J6" s="50"/>
      <c r="K6" s="50"/>
      <c r="L6" s="9"/>
    </row>
  </sheetData>
  <mergeCells count="7">
    <mergeCell ref="H2:K2"/>
    <mergeCell ref="A3:K3"/>
    <mergeCell ref="B4:K4"/>
    <mergeCell ref="B5:K5"/>
    <mergeCell ref="B6:K6"/>
    <mergeCell ref="A1:B2"/>
    <mergeCell ref="C1:F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orientation="landscape"/>
  <headerFooter>
    <oddFooter>&amp;L★ F010204-01[6] 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view="pageBreakPreview" zoomScale="115" zoomScaleNormal="115" workbookViewId="0">
      <selection activeCell="A4" sqref="$A4:$XFD6"/>
    </sheetView>
  </sheetViews>
  <sheetFormatPr defaultColWidth="8.72727272727273" defaultRowHeight="14" outlineLevelRow="5"/>
  <cols>
    <col min="1" max="5" width="11.7272727272727" style="9" customWidth="1"/>
    <col min="6" max="6" width="21.2636363636364" style="9" customWidth="1"/>
    <col min="7" max="7" width="15.3636363636364" style="47" customWidth="1"/>
    <col min="8" max="8" width="10.7272727272727" style="9" customWidth="1"/>
    <col min="9" max="9" width="25.6363636363636" style="9" customWidth="1"/>
    <col min="10" max="10" width="1.63636363636364" style="9" customWidth="1"/>
    <col min="11" max="11" width="8.44545454545455" style="9" customWidth="1"/>
    <col min="12" max="12" width="8.36363636363636" customWidth="1"/>
  </cols>
  <sheetData>
    <row r="1" ht="25" customHeight="1" spans="1:12">
      <c r="A1" s="2"/>
      <c r="B1" s="2"/>
      <c r="C1" s="3" t="s">
        <v>1</v>
      </c>
      <c r="D1" s="3"/>
      <c r="E1" s="3"/>
      <c r="F1" s="3"/>
      <c r="G1" s="4" t="s">
        <v>73</v>
      </c>
      <c r="H1" s="5" t="s">
        <v>74</v>
      </c>
      <c r="I1" s="6" t="e">
        <f>首页及工序页!#REF!</f>
        <v>#REF!</v>
      </c>
      <c r="J1" s="7" t="s">
        <v>6</v>
      </c>
      <c r="K1" s="8" t="e">
        <f>首页及工序页!#REF!</f>
        <v>#REF!</v>
      </c>
      <c r="L1" s="9"/>
    </row>
    <row r="2" ht="30" customHeight="1" spans="1:12">
      <c r="A2" s="2"/>
      <c r="B2" s="2"/>
      <c r="C2" s="3"/>
      <c r="D2" s="3"/>
      <c r="E2" s="3"/>
      <c r="F2" s="3"/>
      <c r="G2" s="4" t="s">
        <v>75</v>
      </c>
      <c r="H2" s="10"/>
      <c r="I2" s="10"/>
      <c r="J2" s="11"/>
      <c r="K2" s="11"/>
      <c r="L2" s="9"/>
    </row>
    <row r="3" ht="25.5" customHeight="1" spans="1:12">
      <c r="A3" s="12" t="s">
        <v>80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48"/>
    </row>
    <row r="4" ht="27" customHeight="1" spans="1:12">
      <c r="A4" s="49" t="s">
        <v>76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9"/>
    </row>
    <row r="5" ht="297" customHeight="1" spans="1:12">
      <c r="A5" s="16" t="s">
        <v>81</v>
      </c>
      <c r="B5" s="2"/>
      <c r="C5" s="2"/>
      <c r="D5" s="2"/>
      <c r="E5" s="2"/>
      <c r="F5" s="2"/>
      <c r="G5" s="2"/>
      <c r="H5" s="2"/>
      <c r="I5" s="2"/>
      <c r="J5" s="2"/>
      <c r="K5" s="2"/>
      <c r="L5" s="9"/>
    </row>
    <row r="6" ht="23.15" customHeight="1" spans="1:12">
      <c r="A6" s="49" t="s">
        <v>78</v>
      </c>
      <c r="B6" s="50" t="s">
        <v>82</v>
      </c>
      <c r="C6" s="50"/>
      <c r="D6" s="50"/>
      <c r="E6" s="50"/>
      <c r="F6" s="50"/>
      <c r="G6" s="50"/>
      <c r="H6" s="50"/>
      <c r="I6" s="50"/>
      <c r="J6" s="50"/>
      <c r="K6" s="50"/>
      <c r="L6" s="9"/>
    </row>
  </sheetData>
  <mergeCells count="7">
    <mergeCell ref="H2:K2"/>
    <mergeCell ref="A3:K3"/>
    <mergeCell ref="B4:K4"/>
    <mergeCell ref="B5:K5"/>
    <mergeCell ref="B6:K6"/>
    <mergeCell ref="A1:B2"/>
    <mergeCell ref="C1:F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orientation="landscape"/>
  <headerFooter>
    <oddFooter>&amp;L★ F010204-01[6] 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view="pageBreakPreview" zoomScale="115" zoomScaleNormal="100" topLeftCell="A2" workbookViewId="0">
      <selection activeCell="D12" sqref="D12"/>
    </sheetView>
  </sheetViews>
  <sheetFormatPr defaultColWidth="8.72727272727273" defaultRowHeight="14"/>
  <cols>
    <col min="1" max="5" width="11.7272727272727" style="20" customWidth="1"/>
    <col min="6" max="6" width="21.2636363636364" style="20" customWidth="1"/>
    <col min="7" max="7" width="15.3636363636364" style="21" customWidth="1"/>
    <col min="8" max="8" width="10.7272727272727" style="20" customWidth="1"/>
    <col min="9" max="9" width="25.6363636363636" style="20" customWidth="1"/>
    <col min="10" max="10" width="1.63636363636364" style="20" customWidth="1"/>
    <col min="11" max="11" width="8.44545454545455" style="20" customWidth="1"/>
    <col min="12" max="12" width="8.36363636363636" style="22" customWidth="1"/>
    <col min="13" max="16384" width="8.72727272727273" style="22"/>
  </cols>
  <sheetData>
    <row r="1" ht="25" customHeight="1" spans="1:12">
      <c r="A1" s="23"/>
      <c r="B1" s="23"/>
      <c r="C1" s="24" t="s">
        <v>1</v>
      </c>
      <c r="D1" s="24"/>
      <c r="E1" s="24"/>
      <c r="F1" s="24"/>
      <c r="G1" s="25" t="s">
        <v>73</v>
      </c>
      <c r="H1" s="26" t="s">
        <v>74</v>
      </c>
      <c r="I1" s="27" t="e">
        <f>首页及工序页!#REF!</f>
        <v>#REF!</v>
      </c>
      <c r="J1" s="28" t="s">
        <v>6</v>
      </c>
      <c r="K1" s="29" t="e">
        <f>首页及工序页!#REF!</f>
        <v>#REF!</v>
      </c>
      <c r="L1" s="20"/>
    </row>
    <row r="2" ht="30" customHeight="1" spans="1:12">
      <c r="A2" s="23"/>
      <c r="B2" s="23"/>
      <c r="C2" s="24"/>
      <c r="D2" s="24"/>
      <c r="E2" s="24"/>
      <c r="F2" s="24"/>
      <c r="G2" s="25" t="s">
        <v>75</v>
      </c>
      <c r="H2" s="30"/>
      <c r="I2" s="30"/>
      <c r="J2" s="31"/>
      <c r="K2" s="31"/>
      <c r="L2" s="20"/>
    </row>
    <row r="3" s="19" customFormat="1" ht="34.5" customHeight="1" spans="1:12">
      <c r="A3" s="32" t="s">
        <v>83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="19" customFormat="1" ht="50.15" customHeight="1" spans="1:12">
      <c r="A4" s="34" t="s">
        <v>84</v>
      </c>
      <c r="B4" s="35" t="s">
        <v>85</v>
      </c>
      <c r="C4" s="36"/>
      <c r="D4" s="37" t="s">
        <v>86</v>
      </c>
      <c r="E4" s="35" t="s">
        <v>87</v>
      </c>
      <c r="F4" s="36"/>
      <c r="G4" s="35" t="s">
        <v>88</v>
      </c>
      <c r="H4" s="36"/>
      <c r="I4" s="37" t="s">
        <v>85</v>
      </c>
      <c r="J4" s="35" t="s">
        <v>86</v>
      </c>
      <c r="K4" s="36"/>
      <c r="L4" s="38"/>
    </row>
    <row r="5" s="19" customFormat="1" ht="40.5" customHeight="1" spans="1:12">
      <c r="A5" s="34"/>
      <c r="B5" s="35"/>
      <c r="C5" s="36"/>
      <c r="D5" s="37"/>
      <c r="E5" s="35"/>
      <c r="F5" s="36"/>
      <c r="G5" s="35"/>
      <c r="H5" s="36"/>
      <c r="I5" s="37"/>
      <c r="J5" s="35"/>
      <c r="K5" s="36"/>
      <c r="L5" s="38"/>
    </row>
    <row r="6" s="19" customFormat="1" ht="40.5" customHeight="1" spans="1:12">
      <c r="A6" s="37" t="s">
        <v>89</v>
      </c>
      <c r="B6" s="35" t="s">
        <v>90</v>
      </c>
      <c r="C6" s="39"/>
      <c r="D6" s="37" t="s">
        <v>91</v>
      </c>
      <c r="E6" s="35" t="s">
        <v>92</v>
      </c>
      <c r="F6" s="39"/>
      <c r="G6" s="35" t="s">
        <v>88</v>
      </c>
      <c r="H6" s="39"/>
      <c r="I6" s="37" t="s">
        <v>85</v>
      </c>
      <c r="J6" s="35" t="s">
        <v>93</v>
      </c>
      <c r="K6" s="36"/>
      <c r="L6" s="38"/>
    </row>
    <row r="7" s="19" customFormat="1" ht="40.5" customHeight="1" spans="1:12">
      <c r="A7" s="40"/>
      <c r="B7" s="41"/>
      <c r="C7" s="42"/>
      <c r="D7" s="43"/>
      <c r="E7" s="44"/>
      <c r="F7" s="45"/>
      <c r="G7" s="41"/>
      <c r="H7" s="42"/>
      <c r="I7" s="46"/>
      <c r="J7" s="35"/>
      <c r="K7" s="36"/>
      <c r="L7" s="38"/>
    </row>
    <row r="8" s="19" customFormat="1" ht="40.5" customHeight="1" spans="1:12">
      <c r="A8" s="40"/>
      <c r="B8" s="41"/>
      <c r="C8" s="42"/>
      <c r="D8" s="43"/>
      <c r="E8" s="44"/>
      <c r="F8" s="45"/>
      <c r="G8" s="41"/>
      <c r="H8" s="42"/>
      <c r="I8" s="46"/>
      <c r="J8" s="35"/>
      <c r="K8" s="36"/>
      <c r="L8" s="38"/>
    </row>
    <row r="9" s="19" customFormat="1" ht="40.5" customHeight="1" spans="1:12">
      <c r="A9" s="40"/>
      <c r="B9" s="41"/>
      <c r="C9" s="42"/>
      <c r="D9" s="43"/>
      <c r="E9" s="44"/>
      <c r="F9" s="45"/>
      <c r="G9" s="41"/>
      <c r="H9" s="42"/>
      <c r="I9" s="46"/>
      <c r="J9" s="35"/>
      <c r="K9" s="36"/>
      <c r="L9" s="38"/>
    </row>
    <row r="10" s="19" customFormat="1" ht="40.5" customHeight="1" spans="1:12">
      <c r="A10" s="40"/>
      <c r="B10" s="41"/>
      <c r="C10" s="42"/>
      <c r="D10" s="43"/>
      <c r="E10" s="44"/>
      <c r="F10" s="45"/>
      <c r="G10" s="41"/>
      <c r="H10" s="42"/>
      <c r="I10" s="46"/>
      <c r="J10" s="35"/>
      <c r="K10" s="36"/>
      <c r="L10" s="38"/>
    </row>
    <row r="11" s="19" customFormat="1" ht="40.5" customHeight="1" spans="1:12">
      <c r="A11" s="40"/>
      <c r="B11" s="41"/>
      <c r="C11" s="42"/>
      <c r="D11" s="43"/>
      <c r="E11" s="44"/>
      <c r="F11" s="45"/>
      <c r="G11" s="41"/>
      <c r="H11" s="42"/>
      <c r="I11" s="46"/>
      <c r="J11" s="35"/>
      <c r="K11" s="36"/>
      <c r="L11" s="38"/>
    </row>
    <row r="12" s="19" customFormat="1" ht="40.5" customHeight="1" spans="1:12">
      <c r="A12" s="40"/>
      <c r="B12" s="41"/>
      <c r="C12" s="42"/>
      <c r="D12" s="43"/>
      <c r="E12" s="44"/>
      <c r="F12" s="45"/>
      <c r="G12" s="41"/>
      <c r="H12" s="42"/>
      <c r="I12" s="46"/>
      <c r="J12" s="35"/>
      <c r="K12" s="36"/>
      <c r="L12" s="38"/>
    </row>
  </sheetData>
  <mergeCells count="40">
    <mergeCell ref="H2:K2"/>
    <mergeCell ref="A3:K3"/>
    <mergeCell ref="B4:C4"/>
    <mergeCell ref="E4:F4"/>
    <mergeCell ref="G4:H4"/>
    <mergeCell ref="J4:K4"/>
    <mergeCell ref="B5:C5"/>
    <mergeCell ref="E5:F5"/>
    <mergeCell ref="G5:H5"/>
    <mergeCell ref="J5:K5"/>
    <mergeCell ref="B6:C6"/>
    <mergeCell ref="E6:F6"/>
    <mergeCell ref="G6:H6"/>
    <mergeCell ref="J6:K6"/>
    <mergeCell ref="B7:C7"/>
    <mergeCell ref="E7:F7"/>
    <mergeCell ref="G7:H7"/>
    <mergeCell ref="J7:K7"/>
    <mergeCell ref="B8:C8"/>
    <mergeCell ref="E8:F8"/>
    <mergeCell ref="G8:H8"/>
    <mergeCell ref="J8:K8"/>
    <mergeCell ref="B9:C9"/>
    <mergeCell ref="E9:F9"/>
    <mergeCell ref="G9:H9"/>
    <mergeCell ref="J9:K9"/>
    <mergeCell ref="B10:C10"/>
    <mergeCell ref="E10:F10"/>
    <mergeCell ref="G10:H10"/>
    <mergeCell ref="J10:K10"/>
    <mergeCell ref="B11:C11"/>
    <mergeCell ref="E11:F11"/>
    <mergeCell ref="G11:H11"/>
    <mergeCell ref="J11:K11"/>
    <mergeCell ref="B12:C12"/>
    <mergeCell ref="E12:F12"/>
    <mergeCell ref="G12:H12"/>
    <mergeCell ref="J12:K12"/>
    <mergeCell ref="A1:B2"/>
    <mergeCell ref="C1:F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orientation="landscape"/>
  <headerFooter>
    <oddFooter>&amp;L★ F010204-01[6] 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view="pageBreakPreview" zoomScale="115" zoomScaleNormal="130" workbookViewId="0">
      <selection activeCell="G13" sqref="G13"/>
    </sheetView>
  </sheetViews>
  <sheetFormatPr defaultColWidth="8.72727272727273" defaultRowHeight="14" outlineLevelRow="7"/>
  <cols>
    <col min="1" max="4" width="11.7272727272727" customWidth="1"/>
    <col min="5" max="5" width="15" customWidth="1"/>
    <col min="6" max="6" width="11.4454545454545" customWidth="1"/>
    <col min="7" max="7" width="16.0909090909091" customWidth="1"/>
    <col min="8" max="8" width="10.7272727272727" customWidth="1"/>
    <col min="9" max="9" width="26.0909090909091" customWidth="1"/>
    <col min="10" max="10" width="2.90909090909091" customWidth="1"/>
    <col min="11" max="11" width="9.09090909090909" customWidth="1"/>
  </cols>
  <sheetData>
    <row r="1" ht="25" customHeight="1" spans="1:12">
      <c r="A1" s="2"/>
      <c r="B1" s="2"/>
      <c r="C1" s="3" t="s">
        <v>1</v>
      </c>
      <c r="D1" s="3"/>
      <c r="E1" s="3"/>
      <c r="F1" s="3"/>
      <c r="G1" s="4" t="s">
        <v>73</v>
      </c>
      <c r="H1" s="5" t="s">
        <v>74</v>
      </c>
      <c r="I1" s="6" t="e">
        <f>首页及工序页!#REF!</f>
        <v>#REF!</v>
      </c>
      <c r="J1" s="7" t="s">
        <v>6</v>
      </c>
      <c r="K1" s="8" t="e">
        <f>首页及工序页!#REF!</f>
        <v>#REF!</v>
      </c>
      <c r="L1" s="9"/>
    </row>
    <row r="2" ht="30" customHeight="1" spans="1:12">
      <c r="A2" s="2"/>
      <c r="B2" s="2"/>
      <c r="C2" s="3"/>
      <c r="D2" s="3"/>
      <c r="E2" s="3"/>
      <c r="F2" s="3"/>
      <c r="G2" s="4" t="s">
        <v>75</v>
      </c>
      <c r="H2" s="10"/>
      <c r="I2" s="10"/>
      <c r="J2" s="11"/>
      <c r="K2" s="11"/>
      <c r="L2" s="9"/>
    </row>
    <row r="3" s="1" customFormat="1" ht="37.5" customHeight="1" spans="1:12">
      <c r="A3" s="12" t="s">
        <v>94</v>
      </c>
      <c r="B3" s="12"/>
      <c r="C3" s="12"/>
      <c r="D3" s="12"/>
      <c r="E3" s="12"/>
      <c r="F3" s="12"/>
      <c r="G3" s="12"/>
      <c r="H3" s="12"/>
      <c r="I3" s="12"/>
      <c r="J3" s="13"/>
      <c r="K3" s="12"/>
      <c r="L3" s="14"/>
    </row>
    <row r="4" s="1" customFormat="1" ht="26" spans="1:12">
      <c r="A4" s="15" t="s">
        <v>95</v>
      </c>
      <c r="B4" s="15" t="s">
        <v>96</v>
      </c>
      <c r="C4" s="15"/>
      <c r="D4" s="15"/>
      <c r="E4" s="15"/>
      <c r="F4" s="16" t="s">
        <v>97</v>
      </c>
      <c r="G4" s="16"/>
      <c r="H4" s="16"/>
      <c r="I4" s="15" t="s">
        <v>98</v>
      </c>
      <c r="J4" s="17"/>
      <c r="K4" s="15"/>
      <c r="L4" s="14"/>
    </row>
    <row r="5" s="1" customFormat="1" ht="30.75" customHeight="1" spans="1:12">
      <c r="A5" s="18" t="s">
        <v>99</v>
      </c>
      <c r="B5" s="15" t="s">
        <v>100</v>
      </c>
      <c r="C5" s="15"/>
      <c r="D5" s="15"/>
      <c r="E5" s="15"/>
      <c r="F5" s="16" t="s">
        <v>82</v>
      </c>
      <c r="G5" s="16"/>
      <c r="H5" s="16"/>
      <c r="I5" s="15" t="s">
        <v>82</v>
      </c>
      <c r="J5" s="17"/>
      <c r="K5" s="15"/>
      <c r="L5" s="14"/>
    </row>
    <row r="6" s="1" customFormat="1" ht="30.75" customHeight="1" spans="1:12">
      <c r="A6" s="18" t="s">
        <v>101</v>
      </c>
      <c r="B6" s="15" t="s">
        <v>82</v>
      </c>
      <c r="C6" s="15"/>
      <c r="D6" s="15"/>
      <c r="E6" s="15"/>
      <c r="F6" s="16" t="s">
        <v>102</v>
      </c>
      <c r="G6" s="16"/>
      <c r="H6" s="16"/>
      <c r="I6" s="15" t="s">
        <v>103</v>
      </c>
      <c r="J6" s="17"/>
      <c r="K6" s="15"/>
      <c r="L6" s="14"/>
    </row>
    <row r="7" s="1" customFormat="1" ht="30.75" customHeight="1" spans="1:12">
      <c r="A7" s="18" t="s">
        <v>104</v>
      </c>
      <c r="B7" s="15" t="s">
        <v>105</v>
      </c>
      <c r="C7" s="15"/>
      <c r="D7" s="15"/>
      <c r="E7" s="15"/>
      <c r="F7" s="16" t="s">
        <v>106</v>
      </c>
      <c r="G7" s="16"/>
      <c r="H7" s="16"/>
      <c r="I7" s="15" t="s">
        <v>107</v>
      </c>
      <c r="J7" s="17"/>
      <c r="K7" s="15"/>
      <c r="L7" s="14"/>
    </row>
    <row r="8" s="1" customFormat="1" ht="30.75" customHeight="1" spans="1:12">
      <c r="A8" s="18" t="s">
        <v>7</v>
      </c>
      <c r="B8" s="15" t="s">
        <v>108</v>
      </c>
      <c r="C8" s="15"/>
      <c r="D8" s="15"/>
      <c r="E8" s="15"/>
      <c r="F8" s="16" t="s">
        <v>109</v>
      </c>
      <c r="G8" s="16"/>
      <c r="H8" s="16"/>
      <c r="I8" s="15" t="s">
        <v>107</v>
      </c>
      <c r="J8" s="17"/>
      <c r="K8" s="15"/>
      <c r="L8" s="14"/>
    </row>
  </sheetData>
  <mergeCells count="19">
    <mergeCell ref="H2:K2"/>
    <mergeCell ref="A3:K3"/>
    <mergeCell ref="B4:E4"/>
    <mergeCell ref="F4:H4"/>
    <mergeCell ref="I4:K4"/>
    <mergeCell ref="B5:E5"/>
    <mergeCell ref="F5:H5"/>
    <mergeCell ref="I5:K5"/>
    <mergeCell ref="B6:E6"/>
    <mergeCell ref="F6:H6"/>
    <mergeCell ref="I6:K6"/>
    <mergeCell ref="B7:E7"/>
    <mergeCell ref="F7:H7"/>
    <mergeCell ref="I7:K7"/>
    <mergeCell ref="B8:E8"/>
    <mergeCell ref="F8:H8"/>
    <mergeCell ref="I8:K8"/>
    <mergeCell ref="A1:B2"/>
    <mergeCell ref="C1:F2"/>
  </mergeCell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>
    <oddFooter>&amp;L★ F010204-01[6] 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首页及工序页</vt:lpstr>
      <vt:lpstr>草图页</vt:lpstr>
      <vt:lpstr>草图页 (2)</vt:lpstr>
      <vt:lpstr>校形页(仅适用钣金)</vt:lpstr>
      <vt:lpstr>更改记录页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吴昊</dc:creator>
  <cp:lastModifiedBy>sweet</cp:lastModifiedBy>
  <dcterms:created xsi:type="dcterms:W3CDTF">2022-07-19T01:19:00Z</dcterms:created>
  <cp:lastPrinted>2025-09-17T07:38:00Z</cp:lastPrinted>
  <dcterms:modified xsi:type="dcterms:W3CDTF">2026-02-09T12:35:00Z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5FDCFFC1AEB14297851FEDE9E0E03E6E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