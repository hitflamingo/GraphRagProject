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60" activeTab="1"/>
  </bookViews>
  <sheets>
    <sheet name="首页及工序页" sheetId="1" r:id="rId1"/>
    <sheet name="草图页" sheetId="2" r:id="rId2"/>
    <sheet name="草图页 (2)" sheetId="10" r:id="rId3"/>
    <sheet name="校形页(仅适用钣金)" sheetId="8" r:id="rId4"/>
    <sheet name="更改记录页" sheetId="4" r:id="rId5"/>
  </sheets>
  <definedNames>
    <definedName name="_xlnm.Print_Titles" localSheetId="0">首页及工序页!$28:$30</definedName>
    <definedName name="会签1">首页及工序页!$K$25</definedName>
    <definedName name="会签1时间">首页及工序页!$K$26</definedName>
    <definedName name="会签2">首页及工序页!$L$25</definedName>
    <definedName name="会签2时间">首页及工序页!$L$26</definedName>
    <definedName name="会签3">首页及工序页!$M$25</definedName>
    <definedName name="会签3时间">首页及工序页!$M$26</definedName>
    <definedName name="会签4">首页及工序页!$N$25</definedName>
    <definedName name="会签4时间">首页及工序页!$N$26</definedName>
    <definedName name="批准">首页及工序页!$F$25</definedName>
    <definedName name="批准时间">首页及工序页!$F$26</definedName>
    <definedName name="设计">首页及工序页!$A$25</definedName>
    <definedName name="设计时间">首页及工序页!$A$26</definedName>
    <definedName name="校对">首页及工序页!$C$25</definedName>
    <definedName name="校对时间">首页及工序页!$C$26</definedName>
    <definedName name="质保">首页及工序页!$D$25</definedName>
    <definedName name="质保时间">首页及工序页!$D$26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<sst xmlns="http://schemas.openxmlformats.org/spreadsheetml/2006/main" count="288" uniqueCount="178">
  <si>
    <t>制造流程卡
Fabrication  Traveler</t>
  </si>
  <si>
    <r>
      <rPr>
        <b/>
        <sz val="10"/>
        <color rgb="FF000000"/>
        <rFont val="宋体"/>
        <charset val="134"/>
      </rPr>
      <t xml:space="preserve">文件编号及版次
</t>
    </r>
    <r>
      <rPr>
        <b/>
        <sz val="10"/>
        <color rgb="FF000000"/>
        <rFont val="Times New Roman"/>
        <charset val="134"/>
      </rPr>
      <t>File Number and Revision</t>
    </r>
  </si>
  <si>
    <r>
      <rPr>
        <b/>
        <sz val="10"/>
        <color rgb="FF000000"/>
        <rFont val="宋体"/>
        <charset val="134"/>
      </rPr>
      <t xml:space="preserve">作业号
</t>
    </r>
    <r>
      <rPr>
        <b/>
        <sz val="10"/>
        <color rgb="FF000000"/>
        <rFont val="Times New Roman"/>
        <charset val="134"/>
      </rPr>
      <t>Job Number</t>
    </r>
  </si>
  <si>
    <t xml:space="preserve"> XA-FT-</t>
  </si>
  <si>
    <t>E53234023200-01</t>
  </si>
  <si>
    <t>/</t>
  </si>
  <si>
    <t>A4</t>
  </si>
  <si>
    <r>
      <rPr>
        <b/>
        <sz val="8"/>
        <rFont val="宋体"/>
        <charset val="134"/>
      </rPr>
      <t xml:space="preserve">客户
</t>
    </r>
    <r>
      <rPr>
        <b/>
        <sz val="8"/>
        <rFont val="Times New Roman"/>
        <charset val="134"/>
      </rPr>
      <t>Customer</t>
    </r>
  </si>
  <si>
    <t>Stelia</t>
  </si>
  <si>
    <r>
      <rPr>
        <b/>
        <sz val="8"/>
        <rFont val="宋体"/>
        <charset val="134"/>
      </rPr>
      <t xml:space="preserve">项目号
</t>
    </r>
    <r>
      <rPr>
        <b/>
        <sz val="8"/>
        <rFont val="Times New Roman"/>
        <charset val="134"/>
      </rPr>
      <t>Program No.</t>
    </r>
  </si>
  <si>
    <t>SA0002</t>
  </si>
  <si>
    <r>
      <rPr>
        <b/>
        <sz val="8"/>
        <rFont val="宋体"/>
        <charset val="134"/>
      </rPr>
      <t xml:space="preserve">有效架次
</t>
    </r>
    <r>
      <rPr>
        <b/>
        <sz val="8"/>
        <rFont val="Times New Roman"/>
        <charset val="134"/>
      </rPr>
      <t>Effective S/S</t>
    </r>
  </si>
  <si>
    <t>XZA10194+</t>
  </si>
  <si>
    <r>
      <rPr>
        <b/>
        <sz val="7.5"/>
        <rFont val="宋体"/>
        <charset val="134"/>
      </rPr>
      <t xml:space="preserve">是否关重件
</t>
    </r>
    <r>
      <rPr>
        <b/>
        <sz val="7.5"/>
        <rFont val="Times New Roman"/>
        <charset val="134"/>
      </rPr>
      <t>Key/IMPT Part</t>
    </r>
  </si>
  <si>
    <t>否</t>
  </si>
  <si>
    <r>
      <rPr>
        <b/>
        <sz val="8"/>
        <rFont val="宋体"/>
        <charset val="134"/>
      </rPr>
      <t xml:space="preserve">生产计划员
</t>
    </r>
    <r>
      <rPr>
        <b/>
        <sz val="8"/>
        <rFont val="Times New Roman"/>
        <charset val="134"/>
      </rPr>
      <t>Production Planner</t>
    </r>
  </si>
  <si>
    <r>
      <rPr>
        <b/>
        <sz val="8"/>
        <rFont val="宋体"/>
        <charset val="134"/>
      </rPr>
      <t xml:space="preserve">零件号
</t>
    </r>
    <r>
      <rPr>
        <b/>
        <sz val="8"/>
        <rFont val="Times New Roman"/>
        <charset val="134"/>
      </rPr>
      <t>Part No.</t>
    </r>
  </si>
  <si>
    <r>
      <rPr>
        <b/>
        <sz val="8"/>
        <rFont val="宋体"/>
        <charset val="134"/>
      </rPr>
      <t xml:space="preserve">零件名称
</t>
    </r>
    <r>
      <rPr>
        <b/>
        <sz val="8"/>
        <rFont val="Times New Roman"/>
        <charset val="134"/>
      </rPr>
      <t>Part Name</t>
    </r>
  </si>
  <si>
    <t>CLEAT ST22-25 FR29</t>
  </si>
  <si>
    <r>
      <rPr>
        <b/>
        <sz val="8"/>
        <rFont val="宋体"/>
        <charset val="134"/>
      </rPr>
      <t xml:space="preserve">零件版次
</t>
    </r>
    <r>
      <rPr>
        <b/>
        <sz val="8"/>
        <rFont val="Times New Roman"/>
        <charset val="134"/>
      </rPr>
      <t>Part issue</t>
    </r>
  </si>
  <si>
    <t>A00</t>
  </si>
  <si>
    <r>
      <rPr>
        <b/>
        <sz val="8"/>
        <rFont val="宋体"/>
        <charset val="134"/>
      </rPr>
      <t xml:space="preserve">产品系列号
</t>
    </r>
    <r>
      <rPr>
        <b/>
        <sz val="8"/>
        <rFont val="Times New Roman"/>
        <charset val="134"/>
      </rPr>
      <t>Ser. No.</t>
    </r>
  </si>
  <si>
    <r>
      <rPr>
        <b/>
        <sz val="10"/>
        <rFont val="宋体"/>
        <charset val="134"/>
      </rPr>
      <t>分卡信息</t>
    </r>
    <r>
      <rPr>
        <b/>
        <sz val="10"/>
        <rFont val="Times New Roman"/>
        <charset val="134"/>
      </rPr>
      <t xml:space="preserve"> SPLIT INFORMATION</t>
    </r>
  </si>
  <si>
    <r>
      <rPr>
        <b/>
        <sz val="8"/>
        <rFont val="宋体"/>
        <charset val="134"/>
      </rPr>
      <t xml:space="preserve">分卡日期
</t>
    </r>
    <r>
      <rPr>
        <b/>
        <sz val="8"/>
        <rFont val="Times New Roman"/>
        <charset val="134"/>
      </rPr>
      <t>DATE</t>
    </r>
  </si>
  <si>
    <r>
      <rPr>
        <b/>
        <sz val="8"/>
        <rFont val="宋体"/>
        <charset val="134"/>
      </rPr>
      <t xml:space="preserve">工序号
</t>
    </r>
    <r>
      <rPr>
        <b/>
        <sz val="8"/>
        <rFont val="Times New Roman"/>
        <charset val="134"/>
      </rPr>
      <t>O.P. No.</t>
    </r>
  </si>
  <si>
    <r>
      <rPr>
        <b/>
        <sz val="8"/>
        <rFont val="宋体"/>
        <charset val="134"/>
      </rPr>
      <t xml:space="preserve">分卡数量
</t>
    </r>
    <r>
      <rPr>
        <b/>
        <sz val="8"/>
        <rFont val="Times New Roman"/>
        <charset val="134"/>
      </rPr>
      <t>SPLIT QTY</t>
    </r>
  </si>
  <si>
    <r>
      <rPr>
        <b/>
        <sz val="8"/>
        <rFont val="宋体"/>
        <charset val="134"/>
      </rPr>
      <t>产品系列号</t>
    </r>
    <r>
      <rPr>
        <b/>
        <sz val="8"/>
        <rFont val="Times New Roman"/>
        <charset val="134"/>
      </rPr>
      <t>(</t>
    </r>
    <r>
      <rPr>
        <b/>
        <sz val="8"/>
        <rFont val="宋体"/>
        <charset val="134"/>
      </rPr>
      <t>若有</t>
    </r>
    <r>
      <rPr>
        <b/>
        <sz val="8"/>
        <rFont val="Times New Roman"/>
        <charset val="134"/>
      </rPr>
      <t>)
SER No.(if any)</t>
    </r>
  </si>
  <si>
    <r>
      <rPr>
        <b/>
        <sz val="8"/>
        <rFont val="宋体"/>
        <charset val="134"/>
      </rPr>
      <t xml:space="preserve">结余数量
</t>
    </r>
    <r>
      <rPr>
        <b/>
        <sz val="8"/>
        <rFont val="Times New Roman"/>
        <charset val="134"/>
      </rPr>
      <t>BALANCE</t>
    </r>
  </si>
  <si>
    <r>
      <rPr>
        <b/>
        <sz val="8"/>
        <rFont val="宋体"/>
        <charset val="134"/>
      </rPr>
      <t xml:space="preserve">去向
</t>
    </r>
    <r>
      <rPr>
        <b/>
        <sz val="8"/>
        <rFont val="Times New Roman"/>
        <charset val="134"/>
      </rPr>
      <t>TO</t>
    </r>
  </si>
  <si>
    <r>
      <rPr>
        <b/>
        <sz val="8"/>
        <rFont val="宋体"/>
        <charset val="134"/>
      </rPr>
      <t xml:space="preserve">来源
</t>
    </r>
    <r>
      <rPr>
        <b/>
        <sz val="8"/>
        <rFont val="Times New Roman"/>
        <charset val="134"/>
      </rPr>
      <t>FROM</t>
    </r>
  </si>
  <si>
    <r>
      <rPr>
        <b/>
        <sz val="8"/>
        <rFont val="宋体"/>
        <charset val="134"/>
      </rPr>
      <t xml:space="preserve">分卡者
</t>
    </r>
    <r>
      <rPr>
        <b/>
        <sz val="8"/>
        <rFont val="Times New Roman"/>
        <charset val="134"/>
      </rPr>
      <t>SPLIT BY</t>
    </r>
  </si>
  <si>
    <r>
      <rPr>
        <b/>
        <sz val="8"/>
        <rFont val="宋体"/>
        <charset val="134"/>
      </rPr>
      <t xml:space="preserve">检验
</t>
    </r>
    <r>
      <rPr>
        <b/>
        <sz val="8"/>
        <rFont val="Times New Roman"/>
        <charset val="134"/>
      </rPr>
      <t>INSPECTOR</t>
    </r>
  </si>
  <si>
    <r>
      <rPr>
        <b/>
        <sz val="10"/>
        <rFont val="宋体"/>
        <charset val="134"/>
      </rPr>
      <t>所引用的图纸及技术资料</t>
    </r>
    <r>
      <rPr>
        <b/>
        <sz val="10"/>
        <rFont val="Times New Roman"/>
        <charset val="134"/>
      </rPr>
      <t xml:space="preserve"> Related drawings and technical files</t>
    </r>
  </si>
  <si>
    <r>
      <rPr>
        <b/>
        <sz val="8"/>
        <rFont val="宋体"/>
        <charset val="134"/>
      </rPr>
      <t xml:space="preserve">序号
</t>
    </r>
    <r>
      <rPr>
        <b/>
        <sz val="8"/>
        <rFont val="Times New Roman"/>
        <charset val="134"/>
      </rPr>
      <t>Serial No.</t>
    </r>
  </si>
  <si>
    <r>
      <rPr>
        <b/>
        <sz val="8"/>
        <rFont val="宋体"/>
        <charset val="134"/>
      </rPr>
      <t>编号</t>
    </r>
    <r>
      <rPr>
        <b/>
        <sz val="8"/>
        <rFont val="Times New Roman"/>
        <charset val="134"/>
      </rPr>
      <t xml:space="preserve"> 
Number</t>
    </r>
  </si>
  <si>
    <r>
      <rPr>
        <b/>
        <sz val="8"/>
        <rFont val="宋体"/>
        <charset val="134"/>
      </rPr>
      <t xml:space="preserve">名称
</t>
    </r>
    <r>
      <rPr>
        <b/>
        <sz val="8"/>
        <rFont val="Times New Roman"/>
        <charset val="134"/>
      </rPr>
      <t>Name</t>
    </r>
  </si>
  <si>
    <r>
      <rPr>
        <b/>
        <sz val="8"/>
        <rFont val="宋体"/>
        <charset val="134"/>
      </rPr>
      <t xml:space="preserve">页次
</t>
    </r>
    <r>
      <rPr>
        <b/>
        <sz val="8"/>
        <rFont val="Times New Roman"/>
        <charset val="134"/>
      </rPr>
      <t>Page</t>
    </r>
  </si>
  <si>
    <r>
      <rPr>
        <b/>
        <sz val="8"/>
        <rFont val="宋体"/>
        <charset val="134"/>
      </rPr>
      <t xml:space="preserve">版次
</t>
    </r>
    <r>
      <rPr>
        <b/>
        <sz val="8"/>
        <rFont val="Times New Roman"/>
        <charset val="134"/>
      </rPr>
      <t>Issue</t>
    </r>
  </si>
  <si>
    <r>
      <rPr>
        <b/>
        <sz val="8"/>
        <rFont val="宋体"/>
        <charset val="134"/>
      </rPr>
      <t xml:space="preserve">备注
</t>
    </r>
    <r>
      <rPr>
        <b/>
        <sz val="8"/>
        <rFont val="Times New Roman"/>
        <charset val="134"/>
      </rPr>
      <t>Note</t>
    </r>
  </si>
  <si>
    <t>E53234023</t>
  </si>
  <si>
    <r>
      <rPr>
        <sz val="8"/>
        <rFont val="宋体"/>
        <charset val="134"/>
      </rPr>
      <t>图纸</t>
    </r>
    <r>
      <rPr>
        <sz val="8"/>
        <rFont val="Times New Roman"/>
        <charset val="134"/>
      </rPr>
      <t>DWG</t>
    </r>
  </si>
  <si>
    <t>01</t>
  </si>
  <si>
    <t>BOM</t>
  </si>
  <si>
    <t>01-03</t>
  </si>
  <si>
    <t>AMPR_E53234023200-01</t>
  </si>
  <si>
    <t>AMPR</t>
  </si>
  <si>
    <t>00</t>
  </si>
  <si>
    <t>NLGB-TQN-0210</t>
  </si>
  <si>
    <r>
      <rPr>
        <sz val="8"/>
        <rFont val="宋体"/>
        <charset val="134"/>
      </rPr>
      <t>询问单</t>
    </r>
    <r>
      <rPr>
        <sz val="8"/>
        <rFont val="Times New Roman"/>
        <charset val="134"/>
      </rPr>
      <t>query</t>
    </r>
  </si>
  <si>
    <t>A</t>
  </si>
  <si>
    <t>CDF-TQN-0260</t>
  </si>
  <si>
    <r>
      <rPr>
        <b/>
        <sz val="10"/>
        <rFont val="宋体"/>
        <charset val="134"/>
      </rPr>
      <t>所需原材料信息</t>
    </r>
    <r>
      <rPr>
        <b/>
        <sz val="10"/>
        <rFont val="Times New Roman"/>
        <charset val="134"/>
      </rPr>
      <t xml:space="preserve"> MATERIAL REQUIRED</t>
    </r>
  </si>
  <si>
    <r>
      <rPr>
        <sz val="8"/>
        <rFont val="宋体"/>
        <charset val="134"/>
      </rPr>
      <t xml:space="preserve">材料名称
</t>
    </r>
    <r>
      <rPr>
        <sz val="8"/>
        <rFont val="Times New Roman"/>
        <charset val="134"/>
      </rPr>
      <t>MAT'L NAME</t>
    </r>
  </si>
  <si>
    <t>铝薄板</t>
  </si>
  <si>
    <r>
      <rPr>
        <sz val="8"/>
        <rFont val="宋体"/>
        <charset val="134"/>
      </rPr>
      <t>材料牌号状态</t>
    </r>
    <r>
      <rPr>
        <sz val="8"/>
        <rFont val="Times New Roman"/>
        <charset val="134"/>
      </rPr>
      <t xml:space="preserve"> 
MAT'L DESP' S</t>
    </r>
  </si>
  <si>
    <t>2024-O</t>
  </si>
  <si>
    <r>
      <rPr>
        <sz val="8"/>
        <rFont val="Times New Roman"/>
        <charset val="134"/>
      </rPr>
      <t xml:space="preserve"> </t>
    </r>
    <r>
      <rPr>
        <sz val="8"/>
        <rFont val="宋体"/>
        <charset val="134"/>
      </rPr>
      <t>材料规格</t>
    </r>
    <r>
      <rPr>
        <sz val="8"/>
        <rFont val="Times New Roman"/>
        <charset val="134"/>
      </rPr>
      <t xml:space="preserve"> 
MAT'L SIZE(mm/inch)</t>
    </r>
  </si>
  <si>
    <r>
      <rPr>
        <sz val="8"/>
        <rFont val="宋体"/>
        <charset val="134"/>
      </rPr>
      <t xml:space="preserve">材料编码
</t>
    </r>
    <r>
      <rPr>
        <sz val="8"/>
        <rFont val="Times New Roman"/>
        <charset val="134"/>
      </rPr>
      <t>MAT'L CODE</t>
    </r>
  </si>
  <si>
    <t>XAZ51C00032-22</t>
  </si>
  <si>
    <r>
      <rPr>
        <sz val="7.5"/>
        <rFont val="宋体"/>
        <charset val="134"/>
      </rPr>
      <t xml:space="preserve">纤维方向
</t>
    </r>
    <r>
      <rPr>
        <sz val="7.5"/>
        <rFont val="Times New Roman"/>
        <charset val="134"/>
      </rPr>
      <t>GRAIN DIRECTION</t>
    </r>
  </si>
  <si>
    <r>
      <rPr>
        <sz val="8"/>
        <rFont val="宋体"/>
        <charset val="134"/>
      </rPr>
      <t xml:space="preserve">毛料尺寸
</t>
    </r>
    <r>
      <rPr>
        <sz val="8"/>
        <rFont val="Times New Roman"/>
        <charset val="134"/>
      </rPr>
      <t>STOCK SIZE</t>
    </r>
  </si>
  <si>
    <t>X</t>
  </si>
  <si>
    <r>
      <rPr>
        <sz val="8"/>
        <rFont val="Times New Roman"/>
        <charset val="134"/>
      </rPr>
      <t>(1</t>
    </r>
    <r>
      <rPr>
        <sz val="8"/>
        <rFont val="宋体"/>
        <charset val="134"/>
      </rPr>
      <t>做</t>
    </r>
  </si>
  <si>
    <r>
      <rPr>
        <sz val="8"/>
        <rFont val="宋体"/>
        <charset val="134"/>
      </rPr>
      <t>）</t>
    </r>
  </si>
  <si>
    <r>
      <rPr>
        <sz val="8"/>
        <rFont val="宋体"/>
        <charset val="134"/>
      </rPr>
      <t>材料规范</t>
    </r>
    <r>
      <rPr>
        <sz val="8"/>
        <rFont val="Times New Roman"/>
        <charset val="134"/>
      </rPr>
      <t xml:space="preserve"> 
MAT'L SPEC</t>
    </r>
  </si>
  <si>
    <t>ASNA3042</t>
  </si>
  <si>
    <r>
      <rPr>
        <sz val="8"/>
        <rFont val="宋体"/>
        <charset val="134"/>
      </rPr>
      <t xml:space="preserve">炉批号
</t>
    </r>
    <r>
      <rPr>
        <sz val="8"/>
        <rFont val="Times New Roman"/>
        <charset val="134"/>
      </rPr>
      <t>LOT No.</t>
    </r>
  </si>
  <si>
    <r>
      <rPr>
        <sz val="8"/>
        <rFont val="宋体"/>
        <charset val="134"/>
      </rPr>
      <t xml:space="preserve">发料者
</t>
    </r>
    <r>
      <rPr>
        <sz val="8"/>
        <rFont val="Times New Roman"/>
        <charset val="134"/>
      </rPr>
      <t>Released By</t>
    </r>
  </si>
  <si>
    <r>
      <rPr>
        <b/>
        <sz val="10"/>
        <rFont val="宋体"/>
        <charset val="134"/>
      </rPr>
      <t>工作说明</t>
    </r>
    <r>
      <rPr>
        <b/>
        <sz val="10"/>
        <rFont val="Times New Roman"/>
        <charset val="134"/>
      </rPr>
      <t xml:space="preserve"> JOB DESCRIPTION</t>
    </r>
  </si>
  <si>
    <r>
      <rPr>
        <sz val="8"/>
        <rFont val="宋体"/>
        <charset val="134"/>
      </rPr>
      <t xml:space="preserve">编制
</t>
    </r>
    <r>
      <rPr>
        <sz val="8"/>
        <rFont val="Times New Roman"/>
        <charset val="134"/>
      </rPr>
      <t>COMPILED BY</t>
    </r>
  </si>
  <si>
    <r>
      <rPr>
        <sz val="8"/>
        <rFont val="宋体"/>
        <charset val="134"/>
      </rPr>
      <t xml:space="preserve">校对
</t>
    </r>
    <r>
      <rPr>
        <sz val="8"/>
        <rFont val="Times New Roman"/>
        <charset val="134"/>
      </rPr>
      <t>CHECKED BY.</t>
    </r>
  </si>
  <si>
    <r>
      <rPr>
        <sz val="8"/>
        <rFont val="宋体"/>
        <charset val="134"/>
      </rPr>
      <t xml:space="preserve">质保
</t>
    </r>
    <r>
      <rPr>
        <sz val="8"/>
        <rFont val="Times New Roman"/>
        <charset val="134"/>
      </rPr>
      <t>Q</t>
    </r>
    <r>
      <rPr>
        <sz val="8"/>
        <rFont val="宋体"/>
        <charset val="134"/>
      </rPr>
      <t>．</t>
    </r>
    <r>
      <rPr>
        <sz val="8"/>
        <rFont val="Times New Roman"/>
        <charset val="134"/>
      </rPr>
      <t>A</t>
    </r>
  </si>
  <si>
    <r>
      <rPr>
        <sz val="8"/>
        <rFont val="宋体"/>
        <charset val="134"/>
      </rPr>
      <t xml:space="preserve">批准
</t>
    </r>
    <r>
      <rPr>
        <sz val="8"/>
        <rFont val="Times New Roman"/>
        <charset val="134"/>
      </rPr>
      <t>APPROVED BY</t>
    </r>
  </si>
  <si>
    <r>
      <rPr>
        <sz val="8"/>
        <rFont val="宋体"/>
        <charset val="134"/>
      </rPr>
      <t xml:space="preserve">会签
</t>
    </r>
    <r>
      <rPr>
        <sz val="8"/>
        <rFont val="Times New Roman"/>
        <charset val="134"/>
      </rPr>
      <t xml:space="preserve"> COUNTERSIGNED BY</t>
    </r>
  </si>
  <si>
    <r>
      <rPr>
        <sz val="8"/>
        <rFont val="宋体"/>
        <charset val="134"/>
      </rPr>
      <t xml:space="preserve">归档人员
</t>
    </r>
    <r>
      <rPr>
        <sz val="8"/>
        <rFont val="Times New Roman"/>
        <charset val="134"/>
      </rPr>
      <t>Archivist</t>
    </r>
  </si>
  <si>
    <r>
      <rPr>
        <b/>
        <sz val="10"/>
        <color rgb="FF000000"/>
        <rFont val="宋体"/>
        <charset val="134"/>
      </rPr>
      <t xml:space="preserve">工序
</t>
    </r>
    <r>
      <rPr>
        <b/>
        <sz val="10"/>
        <color rgb="FF000000"/>
        <rFont val="Times New Roman"/>
        <charset val="134"/>
      </rPr>
      <t>Step</t>
    </r>
  </si>
  <si>
    <r>
      <rPr>
        <b/>
        <sz val="10"/>
        <color rgb="FF000000"/>
        <rFont val="宋体"/>
        <charset val="134"/>
      </rPr>
      <t xml:space="preserve">工序描述
</t>
    </r>
    <r>
      <rPr>
        <b/>
        <sz val="10"/>
        <color rgb="FF000000"/>
        <rFont val="Times New Roman"/>
        <charset val="134"/>
      </rPr>
      <t>PROCESS</t>
    </r>
  </si>
  <si>
    <r>
      <rPr>
        <b/>
        <sz val="10"/>
        <color rgb="FF000000"/>
        <rFont val="宋体"/>
        <charset val="134"/>
      </rPr>
      <t>工装</t>
    </r>
    <r>
      <rPr>
        <b/>
        <sz val="10"/>
        <color rgb="FF000000"/>
        <rFont val="Times New Roman"/>
        <charset val="134"/>
      </rPr>
      <t>/</t>
    </r>
    <r>
      <rPr>
        <b/>
        <sz val="10"/>
        <color rgb="FF000000"/>
        <rFont val="宋体"/>
        <charset val="134"/>
      </rPr>
      <t xml:space="preserve">版次
</t>
    </r>
    <r>
      <rPr>
        <b/>
        <sz val="10"/>
        <color rgb="FF000000"/>
        <rFont val="Times New Roman"/>
        <charset val="134"/>
      </rPr>
      <t>Tooling</t>
    </r>
  </si>
  <si>
    <r>
      <rPr>
        <b/>
        <sz val="10"/>
        <color rgb="FF000000"/>
        <rFont val="宋体"/>
        <charset val="134"/>
      </rPr>
      <t xml:space="preserve">工作内容
</t>
    </r>
    <r>
      <rPr>
        <b/>
        <sz val="10"/>
        <color rgb="FF000000"/>
        <rFont val="Times New Roman"/>
        <charset val="134"/>
      </rPr>
      <t>Description</t>
    </r>
  </si>
  <si>
    <r>
      <rPr>
        <b/>
        <sz val="10"/>
        <color rgb="FF000000"/>
        <rFont val="宋体"/>
        <charset val="134"/>
      </rPr>
      <t>工时统计
（</t>
    </r>
    <r>
      <rPr>
        <b/>
        <sz val="10"/>
        <color rgb="FF000000"/>
        <rFont val="Times New Roman"/>
        <charset val="134"/>
      </rPr>
      <t>work hrs</t>
    </r>
    <r>
      <rPr>
        <b/>
        <sz val="10"/>
        <color rgb="FF000000"/>
        <rFont val="宋体"/>
        <charset val="134"/>
      </rPr>
      <t>）</t>
    </r>
  </si>
  <si>
    <r>
      <rPr>
        <b/>
        <sz val="10"/>
        <color rgb="FF000000"/>
        <rFont val="宋体"/>
        <charset val="134"/>
      </rPr>
      <t xml:space="preserve">印章
</t>
    </r>
    <r>
      <rPr>
        <b/>
        <sz val="10"/>
        <color rgb="FF000000"/>
        <rFont val="Times New Roman"/>
        <charset val="134"/>
      </rPr>
      <t>Signature</t>
    </r>
  </si>
  <si>
    <r>
      <rPr>
        <b/>
        <sz val="10"/>
        <color rgb="FF000000"/>
        <rFont val="宋体"/>
        <charset val="134"/>
      </rPr>
      <t xml:space="preserve">质量记录
</t>
    </r>
    <r>
      <rPr>
        <b/>
        <sz val="10"/>
        <color rgb="FF000000"/>
        <rFont val="Times New Roman"/>
        <charset val="134"/>
      </rPr>
      <t>Quality Record</t>
    </r>
  </si>
  <si>
    <t>按FT检查来料的牌号/状态、规格、批号和表面状态；
Inspect incoming material specification/condition, size, lot number and surface quality per FT;
材料代用单号：___________________
Material Substitution Sheet NO:</t>
  </si>
  <si>
    <r>
      <rPr>
        <sz val="8.8"/>
        <color rgb="FF000000"/>
        <rFont val="宋体"/>
        <charset val="134"/>
      </rPr>
      <t>开工时间</t>
    </r>
    <r>
      <rPr>
        <sz val="8.8"/>
        <color rgb="FF000000"/>
        <rFont val="Times New Roman"/>
        <charset val="134"/>
      </rPr>
      <t xml:space="preserve">Start time
</t>
    </r>
    <r>
      <rPr>
        <u/>
        <sz val="8.8"/>
        <color rgb="FF000000"/>
        <rFont val="Times New Roman"/>
        <charset val="134"/>
      </rPr>
      <t xml:space="preserve">
</t>
    </r>
    <r>
      <rPr>
        <sz val="8.8"/>
        <color rgb="FF000000"/>
        <rFont val="Times New Roman"/>
        <charset val="134"/>
      </rPr>
      <t xml:space="preserve">_____N/A_____ </t>
    </r>
    <r>
      <rPr>
        <u/>
        <sz val="8.8"/>
        <color rgb="FF000000"/>
        <rFont val="Times New Roman"/>
        <charset val="134"/>
      </rPr>
      <t xml:space="preserve"> </t>
    </r>
    <r>
      <rPr>
        <sz val="8.8"/>
        <color rgb="FF000000"/>
        <rFont val="Times New Roman"/>
        <charset val="134"/>
      </rPr>
      <t xml:space="preserve">  
</t>
    </r>
    <r>
      <rPr>
        <sz val="8.8"/>
        <color rgb="FF000000"/>
        <rFont val="宋体"/>
        <charset val="134"/>
      </rPr>
      <t>完工时间</t>
    </r>
    <r>
      <rPr>
        <sz val="8.8"/>
        <color rgb="FF000000"/>
        <rFont val="Times New Roman"/>
        <charset val="134"/>
      </rPr>
      <t>Finish time
_____N/A_____</t>
    </r>
  </si>
  <si>
    <r>
      <rPr>
        <sz val="8.8"/>
        <color rgb="FF000000"/>
        <rFont val="宋体"/>
        <charset val="134"/>
      </rPr>
      <t>操作人员</t>
    </r>
    <r>
      <rPr>
        <sz val="8.8"/>
        <color rgb="FF000000"/>
        <rFont val="Times New Roman"/>
        <charset val="134"/>
      </rPr>
      <t xml:space="preserve">Operator
_____________
</t>
    </r>
    <r>
      <rPr>
        <sz val="8.8"/>
        <color rgb="FF000000"/>
        <rFont val="宋体"/>
        <charset val="134"/>
      </rPr>
      <t>检验人员</t>
    </r>
    <r>
      <rPr>
        <sz val="8.8"/>
        <color rgb="FF000000"/>
        <rFont val="Times New Roman"/>
        <charset val="134"/>
      </rPr>
      <t>Inspector
_____N/A_____</t>
    </r>
  </si>
  <si>
    <r>
      <rPr>
        <sz val="8.8"/>
        <color rgb="FF000000"/>
        <rFont val="宋体"/>
        <charset val="134"/>
      </rPr>
      <t>质量记录单号</t>
    </r>
    <r>
      <rPr>
        <sz val="8.8"/>
        <color rgb="FF000000"/>
        <rFont val="Times New Roman"/>
        <charset val="134"/>
      </rPr>
      <t xml:space="preserve"> Quality record No.
__________________________________
</t>
    </r>
    <r>
      <rPr>
        <sz val="8.8"/>
        <color rgb="FF000000"/>
        <rFont val="宋体"/>
        <charset val="134"/>
      </rPr>
      <t>合格数量</t>
    </r>
    <r>
      <rPr>
        <sz val="8.8"/>
        <color rgb="FF000000"/>
        <rFont val="Times New Roman"/>
        <charset val="134"/>
      </rPr>
      <t xml:space="preserve"> Qualified Qty:______________
</t>
    </r>
    <r>
      <rPr>
        <sz val="8.8"/>
        <color rgb="FF000000"/>
        <rFont val="宋体"/>
        <charset val="134"/>
      </rPr>
      <t>拒收</t>
    </r>
    <r>
      <rPr>
        <sz val="8.8"/>
        <color rgb="FF000000"/>
        <rFont val="Times New Roman"/>
        <charset val="134"/>
      </rPr>
      <t xml:space="preserve"> / </t>
    </r>
    <r>
      <rPr>
        <sz val="8.8"/>
        <color rgb="FF000000"/>
        <rFont val="宋体"/>
        <charset val="134"/>
      </rPr>
      <t>报废数量</t>
    </r>
    <r>
      <rPr>
        <sz val="8.8"/>
        <color rgb="FF000000"/>
        <rFont val="Times New Roman"/>
        <charset val="134"/>
      </rPr>
      <t xml:space="preserve"> REJ/SCRAP Qt:______
</t>
    </r>
    <r>
      <rPr>
        <sz val="8.8"/>
        <color rgb="FF000000"/>
        <rFont val="宋体"/>
        <charset val="134"/>
      </rPr>
      <t>不合格评审单</t>
    </r>
    <r>
      <rPr>
        <sz val="8.8"/>
        <color rgb="FF000000"/>
        <rFont val="Times New Roman"/>
        <charset val="134"/>
      </rPr>
      <t xml:space="preserve"> NCR SHEET NO.
_________________________________</t>
    </r>
  </si>
  <si>
    <t>钣金领料</t>
  </si>
  <si>
    <t>SM Incoming Inspection</t>
  </si>
  <si>
    <t>按照AIPS03-11-001及XA-OI-0310-01使用数控下料铣铣制外形及孔(参照草图1)，展开数据集E53234023200-01。
Milling the profile and hole according to AIPS03-11-001 and XA-OI-0310-01(See sketch 1), unfolded data E53234023200-01.</t>
  </si>
  <si>
    <t>法国数控叠料下料铣床钣金下料</t>
  </si>
  <si>
    <t>NC Routing</t>
  </si>
  <si>
    <t>MYLAR 
E53234023200-01</t>
  </si>
  <si>
    <t>按文件ADET0031和XA-OI-0311-01去除零件毛刺。
Deburring around the edge of the part  according to ADET0031 and XA-OI-0311-01.</t>
  </si>
  <si>
    <t>钣金钳工（新）</t>
  </si>
  <si>
    <t>Benchwork</t>
  </si>
  <si>
    <t>1、按XA-QI-0314 进行手工测量;
Semi-Finished Inspection per XA-QI-0314</t>
  </si>
  <si>
    <r>
      <rPr>
        <sz val="8.8"/>
        <color rgb="FF000000"/>
        <rFont val="宋体"/>
        <charset val="134"/>
      </rPr>
      <t>操作人员</t>
    </r>
    <r>
      <rPr>
        <sz val="8.8"/>
        <color rgb="FF000000"/>
        <rFont val="Times New Roman"/>
        <charset val="134"/>
      </rPr>
      <t xml:space="preserve">Operator
_____N/A_____
</t>
    </r>
    <r>
      <rPr>
        <sz val="8.8"/>
        <color rgb="FF000000"/>
        <rFont val="宋体"/>
        <charset val="134"/>
      </rPr>
      <t>检验人员</t>
    </r>
    <r>
      <rPr>
        <sz val="8.8"/>
        <color rgb="FF000000"/>
        <rFont val="Times New Roman"/>
        <charset val="134"/>
      </rPr>
      <t>Inspector
_____________</t>
    </r>
  </si>
  <si>
    <r>
      <rPr>
        <sz val="8.8"/>
        <color rgb="FF000000"/>
        <rFont val="宋体"/>
        <charset val="134"/>
      </rPr>
      <t>质量记录单号</t>
    </r>
    <r>
      <rPr>
        <sz val="8.8"/>
        <color rgb="FF000000"/>
        <rFont val="Times New Roman"/>
        <charset val="134"/>
      </rPr>
      <t xml:space="preserve"> Quality record No.
_______________N/A________________
</t>
    </r>
    <r>
      <rPr>
        <sz val="8.8"/>
        <color rgb="FF000000"/>
        <rFont val="宋体"/>
        <charset val="134"/>
      </rPr>
      <t>合格数量</t>
    </r>
    <r>
      <rPr>
        <sz val="8.8"/>
        <color rgb="FF000000"/>
        <rFont val="Times New Roman"/>
        <charset val="134"/>
      </rPr>
      <t xml:space="preserve"> Qualified Qty:______________
</t>
    </r>
    <r>
      <rPr>
        <sz val="8.8"/>
        <color rgb="FF000000"/>
        <rFont val="宋体"/>
        <charset val="134"/>
      </rPr>
      <t>拒收</t>
    </r>
    <r>
      <rPr>
        <sz val="8.8"/>
        <color rgb="FF000000"/>
        <rFont val="Times New Roman"/>
        <charset val="134"/>
      </rPr>
      <t xml:space="preserve"> / </t>
    </r>
    <r>
      <rPr>
        <sz val="8.8"/>
        <color rgb="FF000000"/>
        <rFont val="宋体"/>
        <charset val="134"/>
      </rPr>
      <t>报废数量</t>
    </r>
    <r>
      <rPr>
        <sz val="8.8"/>
        <color rgb="FF000000"/>
        <rFont val="Times New Roman"/>
        <charset val="134"/>
      </rPr>
      <t xml:space="preserve"> REJ/SCRAP Qt:______
</t>
    </r>
    <r>
      <rPr>
        <sz val="8.8"/>
        <color rgb="FF000000"/>
        <rFont val="宋体"/>
        <charset val="134"/>
      </rPr>
      <t>不合格评审单</t>
    </r>
    <r>
      <rPr>
        <sz val="8.8"/>
        <color rgb="FF000000"/>
        <rFont val="Times New Roman"/>
        <charset val="134"/>
      </rPr>
      <t xml:space="preserve"> NCR SHEET NO.
_________________________________</t>
    </r>
  </si>
  <si>
    <t>钣金下料检验</t>
  </si>
  <si>
    <t>SM inspection</t>
  </si>
  <si>
    <r>
      <rPr>
        <sz val="8.8"/>
        <rFont val="宋体"/>
        <charset val="134"/>
      </rPr>
      <t>清洗按照</t>
    </r>
    <r>
      <rPr>
        <sz val="8.8"/>
        <rFont val="Times New Roman"/>
        <charset val="134"/>
      </rPr>
      <t>XA-OI-0401/AIPI09-01-002</t>
    </r>
    <r>
      <rPr>
        <sz val="8.8"/>
        <rFont val="宋体"/>
        <charset val="134"/>
      </rPr>
      <t>进行</t>
    </r>
    <r>
      <rPr>
        <sz val="8.8"/>
        <rFont val="Times New Roman"/>
        <charset val="134"/>
      </rPr>
      <t>;
Cleaning of aluminum alloys  Cleaning per XA-OI-0401/AIPI09-01-002</t>
    </r>
  </si>
  <si>
    <t>通用铝合金手工清洗</t>
  </si>
  <si>
    <t>Cleaning of aluminum alloys</t>
  </si>
  <si>
    <r>
      <rPr>
        <sz val="8.8"/>
        <rFont val="Times New Roman"/>
        <charset val="134"/>
      </rPr>
      <t>1.</t>
    </r>
    <r>
      <rPr>
        <sz val="8.8"/>
        <rFont val="宋体"/>
        <charset val="134"/>
      </rPr>
      <t>按文件</t>
    </r>
    <r>
      <rPr>
        <sz val="8.8"/>
        <rFont val="Times New Roman"/>
        <charset val="134"/>
      </rPr>
      <t>XA-OI-0401</t>
    </r>
    <r>
      <rPr>
        <sz val="8.8"/>
        <rFont val="宋体"/>
        <charset val="134"/>
      </rPr>
      <t>和</t>
    </r>
    <r>
      <rPr>
        <sz val="8.8"/>
        <rFont val="Times New Roman"/>
        <charset val="134"/>
      </rPr>
      <t>AIPI04-01-001</t>
    </r>
    <r>
      <rPr>
        <sz val="8.8"/>
        <rFont val="宋体"/>
        <charset val="134"/>
      </rPr>
      <t>进行固溶处理，将零件处理到</t>
    </r>
    <r>
      <rPr>
        <sz val="8.8"/>
        <rFont val="Times New Roman"/>
        <charset val="134"/>
      </rPr>
      <t>W</t>
    </r>
    <r>
      <rPr>
        <sz val="8.8"/>
        <rFont val="宋体"/>
        <charset val="134"/>
      </rPr>
      <t>状态。保温温度为</t>
    </r>
    <r>
      <rPr>
        <sz val="8.8"/>
        <rFont val="Times New Roman"/>
        <charset val="134"/>
      </rPr>
      <t>(495±5)</t>
    </r>
    <r>
      <rPr>
        <sz val="8.8"/>
        <rFont val="宋体"/>
        <charset val="134"/>
      </rPr>
      <t>℃，保温时间</t>
    </r>
    <r>
      <rPr>
        <sz val="8.8"/>
        <rFont val="Times New Roman"/>
        <charset val="134"/>
      </rPr>
      <t>(35±5)min</t>
    </r>
    <r>
      <rPr>
        <sz val="8.8"/>
        <rFont val="宋体"/>
        <charset val="134"/>
      </rPr>
      <t>，淬火水温</t>
    </r>
    <r>
      <rPr>
        <sz val="8.8"/>
        <rFont val="Times New Roman"/>
        <charset val="134"/>
      </rPr>
      <t>15</t>
    </r>
    <r>
      <rPr>
        <sz val="8.8"/>
        <rFont val="宋体"/>
        <charset val="134"/>
      </rPr>
      <t>℃～</t>
    </r>
    <r>
      <rPr>
        <sz val="8.8"/>
        <rFont val="Times New Roman"/>
        <charset val="134"/>
      </rPr>
      <t>32</t>
    </r>
    <r>
      <rPr>
        <sz val="8.8"/>
        <rFont val="宋体"/>
        <charset val="134"/>
      </rPr>
      <t>℃，淬火过程水温不超过</t>
    </r>
    <r>
      <rPr>
        <sz val="8.8"/>
        <rFont val="Times New Roman"/>
        <charset val="134"/>
      </rPr>
      <t>10</t>
    </r>
    <r>
      <rPr>
        <sz val="8.8"/>
        <rFont val="宋体"/>
        <charset val="134"/>
      </rPr>
      <t>℃，淬火后，水温≤</t>
    </r>
    <r>
      <rPr>
        <sz val="8.8"/>
        <rFont val="Times New Roman"/>
        <charset val="134"/>
      </rPr>
      <t>37.8</t>
    </r>
    <r>
      <rPr>
        <sz val="8.8"/>
        <rFont val="宋体"/>
        <charset val="134"/>
      </rPr>
      <t>℃，淬火转移时间≤</t>
    </r>
    <r>
      <rPr>
        <sz val="8.8"/>
        <rFont val="Times New Roman"/>
        <charset val="134"/>
      </rPr>
      <t>10</t>
    </r>
    <r>
      <rPr>
        <sz val="8.8"/>
        <rFont val="宋体"/>
        <charset val="134"/>
      </rPr>
      <t>秒。调用编号</t>
    </r>
    <r>
      <rPr>
        <sz val="8.8"/>
        <rFont val="Times New Roman"/>
        <charset val="134"/>
      </rPr>
      <t>0020</t>
    </r>
    <r>
      <rPr>
        <sz val="8.8"/>
        <rFont val="宋体"/>
        <charset val="134"/>
      </rPr>
      <t xml:space="preserve">程序
</t>
    </r>
    <r>
      <rPr>
        <sz val="8.8"/>
        <rFont val="Times New Roman"/>
        <charset val="134"/>
      </rPr>
      <t>Solution treatment to “W” condition according to XA-OI-0401 and AIPI04-01-001. Temperature is (495±5)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>, soaking time is(35±5)min, quenching in water and initial water temperature is in a range of 15</t>
    </r>
    <r>
      <rPr>
        <sz val="8.8"/>
        <rFont val="宋体"/>
        <charset val="134"/>
      </rPr>
      <t>℃～</t>
    </r>
    <r>
      <rPr>
        <sz val="8.8"/>
        <rFont val="Times New Roman"/>
        <charset val="134"/>
      </rPr>
      <t>32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>, water temperature shall not rise by more than 10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 xml:space="preserve"> and final temperature less than 37.8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>, maximum quench delay is 10 seconds.Call program No. 0020.
2.</t>
    </r>
    <r>
      <rPr>
        <sz val="8.8"/>
        <rFont val="宋体"/>
        <charset val="134"/>
      </rPr>
      <t>按文件</t>
    </r>
    <r>
      <rPr>
        <sz val="8.8"/>
        <rFont val="Times New Roman"/>
        <charset val="134"/>
      </rPr>
      <t>XA-QI-0401</t>
    </r>
    <r>
      <rPr>
        <sz val="8.8"/>
        <rFont val="宋体"/>
        <charset val="134"/>
      </rPr>
      <t xml:space="preserve">进行检验。
</t>
    </r>
    <r>
      <rPr>
        <sz val="8.8"/>
        <rFont val="Times New Roman"/>
        <charset val="134"/>
      </rPr>
      <t>Inspect according to XA-QI-0401.</t>
    </r>
  </si>
  <si>
    <t>AIPS/AIPI铝合金的固溶</t>
  </si>
  <si>
    <t>Solution</t>
  </si>
  <si>
    <r>
      <rPr>
        <sz val="8.8"/>
        <rFont val="Times New Roman"/>
        <charset val="134"/>
      </rPr>
      <t>1.</t>
    </r>
    <r>
      <rPr>
        <sz val="8.8"/>
        <rFont val="宋体"/>
        <charset val="134"/>
      </rPr>
      <t>按文件</t>
    </r>
    <r>
      <rPr>
        <sz val="8.8"/>
        <rFont val="Times New Roman"/>
        <charset val="134"/>
      </rPr>
      <t>XA-OI-0401</t>
    </r>
    <r>
      <rPr>
        <sz val="8.8"/>
        <rFont val="宋体"/>
        <charset val="134"/>
      </rPr>
      <t>进行冷藏，并在冷藏记录和</t>
    </r>
    <r>
      <rPr>
        <sz val="8.8"/>
        <rFont val="Times New Roman"/>
        <charset val="134"/>
      </rPr>
      <t>“W</t>
    </r>
    <r>
      <rPr>
        <sz val="8.8"/>
        <rFont val="宋体"/>
        <charset val="134"/>
      </rPr>
      <t>状态成形</t>
    </r>
    <r>
      <rPr>
        <sz val="8.8"/>
        <rFont val="Times New Roman"/>
        <charset val="134"/>
      </rPr>
      <t>/</t>
    </r>
    <r>
      <rPr>
        <sz val="8.8"/>
        <rFont val="宋体"/>
        <charset val="134"/>
      </rPr>
      <t>校形记录</t>
    </r>
    <r>
      <rPr>
        <sz val="8.8"/>
        <rFont val="Times New Roman"/>
        <charset val="134"/>
      </rPr>
      <t>”</t>
    </r>
    <r>
      <rPr>
        <sz val="8.8"/>
        <rFont val="宋体"/>
        <charset val="134"/>
      </rPr>
      <t xml:space="preserve">中填写质量记录。
</t>
    </r>
    <r>
      <rPr>
        <sz val="8.8"/>
        <rFont val="Times New Roman"/>
        <charset val="134"/>
      </rPr>
      <t>Refrigerated storage parts according to XA-OI-0401</t>
    </r>
    <r>
      <rPr>
        <sz val="8.8"/>
        <rFont val="宋体"/>
        <charset val="134"/>
      </rPr>
      <t>，</t>
    </r>
    <r>
      <rPr>
        <sz val="8.8"/>
        <rFont val="Times New Roman"/>
        <charset val="134"/>
      </rPr>
      <t>and fill the quality records in refrigeration record and “W” Condition Forming/Straightening Record.
2.</t>
    </r>
    <r>
      <rPr>
        <sz val="8.8"/>
        <rFont val="宋体"/>
        <charset val="134"/>
      </rPr>
      <t>按文件</t>
    </r>
    <r>
      <rPr>
        <sz val="8.8"/>
        <rFont val="Times New Roman"/>
        <charset val="134"/>
      </rPr>
      <t>XA-QI-0401</t>
    </r>
    <r>
      <rPr>
        <sz val="8.8"/>
        <rFont val="宋体"/>
        <charset val="134"/>
      </rPr>
      <t xml:space="preserve">进行检验。
</t>
    </r>
    <r>
      <rPr>
        <sz val="8.8"/>
        <rFont val="Times New Roman"/>
        <charset val="134"/>
      </rPr>
      <t>Inspect according to XA-QI-0401.</t>
    </r>
  </si>
  <si>
    <t>通用冷藏</t>
  </si>
  <si>
    <t>Refrigerate</t>
  </si>
  <si>
    <t>E53234023200-01-FB/T1
MYLAR
E53234023200-01</t>
  </si>
  <si>
    <t>按文件AIPS 03-10-005以及 XA-OI-0312-02，根据草图1将展开料液压成形，符合图纸的要求。
Hydraulic forming the developed material according to AIPS 03-10-005 and XA-OI-0312-02 to meet the requirements of drawing. See sketch 1.</t>
  </si>
  <si>
    <t>橡皮囊液压成型机液压</t>
  </si>
  <si>
    <t>Hydraulic Forming</t>
  </si>
  <si>
    <r>
      <rPr>
        <sz val="8.8"/>
        <rFont val="宋体"/>
        <charset val="134"/>
      </rPr>
      <t>淬火后，零件在</t>
    </r>
    <r>
      <rPr>
        <sz val="8.8"/>
        <rFont val="Times New Roman"/>
        <charset val="134"/>
      </rPr>
      <t>-1</t>
    </r>
    <r>
      <rPr>
        <sz val="8.8"/>
        <rFont val="宋体"/>
        <charset val="134"/>
      </rPr>
      <t>℃～</t>
    </r>
    <r>
      <rPr>
        <sz val="8.8"/>
        <rFont val="Times New Roman"/>
        <charset val="134"/>
      </rPr>
      <t>37.8</t>
    </r>
    <r>
      <rPr>
        <sz val="8.8"/>
        <rFont val="宋体"/>
        <charset val="134"/>
      </rPr>
      <t>℃保持</t>
    </r>
    <r>
      <rPr>
        <sz val="8.8"/>
        <rFont val="Times New Roman"/>
        <charset val="134"/>
      </rPr>
      <t>W</t>
    </r>
    <r>
      <rPr>
        <sz val="8.8"/>
        <rFont val="宋体"/>
        <charset val="134"/>
      </rPr>
      <t>状态的最长时间为</t>
    </r>
    <r>
      <rPr>
        <sz val="8.8"/>
        <rFont val="Times New Roman"/>
        <charset val="134"/>
      </rPr>
      <t>30</t>
    </r>
    <r>
      <rPr>
        <sz val="8.8"/>
        <rFont val="宋体"/>
        <charset val="134"/>
      </rPr>
      <t>分钟。冷藏温度在</t>
    </r>
    <r>
      <rPr>
        <sz val="8.8"/>
        <rFont val="Times New Roman"/>
        <charset val="134"/>
      </rPr>
      <t>-18</t>
    </r>
    <r>
      <rPr>
        <sz val="8.8"/>
        <rFont val="宋体"/>
        <charset val="134"/>
      </rPr>
      <t>℃以下，保存时间不能超过</t>
    </r>
    <r>
      <rPr>
        <sz val="8.8"/>
        <rFont val="Times New Roman"/>
        <charset val="134"/>
      </rPr>
      <t>7</t>
    </r>
    <r>
      <rPr>
        <sz val="8.8"/>
        <rFont val="宋体"/>
        <charset val="134"/>
      </rPr>
      <t>天。在</t>
    </r>
    <r>
      <rPr>
        <sz val="8.8"/>
        <rFont val="Times New Roman"/>
        <charset val="134"/>
      </rPr>
      <t>“W</t>
    </r>
    <r>
      <rPr>
        <sz val="8.8"/>
        <rFont val="宋体"/>
        <charset val="134"/>
      </rPr>
      <t>状态成形</t>
    </r>
    <r>
      <rPr>
        <sz val="8.8"/>
        <rFont val="Times New Roman"/>
        <charset val="134"/>
      </rPr>
      <t>/</t>
    </r>
    <r>
      <rPr>
        <sz val="8.8"/>
        <rFont val="宋体"/>
        <charset val="134"/>
      </rPr>
      <t>校形记录</t>
    </r>
    <r>
      <rPr>
        <sz val="8.8"/>
        <rFont val="Times New Roman"/>
        <charset val="134"/>
      </rPr>
      <t>”</t>
    </r>
    <r>
      <rPr>
        <sz val="8.8"/>
        <rFont val="宋体"/>
        <charset val="134"/>
      </rPr>
      <t xml:space="preserve">中填写质量记录。
</t>
    </r>
    <r>
      <rPr>
        <sz val="8.8"/>
        <rFont val="Times New Roman"/>
        <charset val="134"/>
      </rPr>
      <t>Reach -1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 xml:space="preserve"> to 37.8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 xml:space="preserve"> after quenching, maximum time held in w condition is 30min. Storage temperature below -18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 xml:space="preserve"> and storage time is less than 7 days. Fill the quality record in “W” Condition Forming/Straightening Record.
</t>
    </r>
    <r>
      <rPr>
        <sz val="8.8"/>
        <rFont val="宋体"/>
        <charset val="134"/>
      </rPr>
      <t>按文件</t>
    </r>
    <r>
      <rPr>
        <sz val="8.8"/>
        <rFont val="Times New Roman"/>
        <charset val="134"/>
      </rPr>
      <t>AIPS 03-10-005</t>
    </r>
    <r>
      <rPr>
        <sz val="8.8"/>
        <rFont val="宋体"/>
        <charset val="134"/>
      </rPr>
      <t>及</t>
    </r>
    <r>
      <rPr>
        <sz val="8.8"/>
        <rFont val="Times New Roman"/>
        <charset val="134"/>
      </rPr>
      <t>XA-OI-0312-01</t>
    </r>
    <r>
      <rPr>
        <sz val="8.8"/>
        <rFont val="宋体"/>
        <charset val="134"/>
      </rPr>
      <t xml:space="preserve">校形零件，符合图纸及公差要求；
</t>
    </r>
    <r>
      <rPr>
        <sz val="8.8"/>
        <rFont val="Times New Roman"/>
        <charset val="134"/>
      </rPr>
      <t>Straightening  parts according to AIPS 03-10-005  and XA-OI-0312-01to meet the requirments of drawing and tolerance.</t>
    </r>
  </si>
  <si>
    <t>钣金校形</t>
  </si>
  <si>
    <t>Dress</t>
  </si>
  <si>
    <r>
      <rPr>
        <sz val="8.8"/>
        <rFont val="Times New Roman"/>
        <charset val="134"/>
      </rPr>
      <t>1</t>
    </r>
    <r>
      <rPr>
        <sz val="8.8"/>
        <rFont val="宋体"/>
        <charset val="134"/>
      </rPr>
      <t>、按</t>
    </r>
    <r>
      <rPr>
        <sz val="8.8"/>
        <rFont val="Times New Roman"/>
        <charset val="134"/>
      </rPr>
      <t xml:space="preserve">XA-QI-0315 </t>
    </r>
    <r>
      <rPr>
        <sz val="8.8"/>
        <rFont val="宋体"/>
        <charset val="134"/>
      </rPr>
      <t>进行手工测量</t>
    </r>
    <r>
      <rPr>
        <sz val="8.8"/>
        <rFont val="Times New Roman"/>
        <charset val="134"/>
      </rPr>
      <t>;
Semi-Finished Inspection per XA-QI-0315;</t>
    </r>
  </si>
  <si>
    <t>钣金成型检验</t>
  </si>
  <si>
    <r>
      <rPr>
        <sz val="8.8"/>
        <rFont val="宋体"/>
        <charset val="134"/>
      </rPr>
      <t>在室温（</t>
    </r>
    <r>
      <rPr>
        <sz val="8.8"/>
        <rFont val="Times New Roman"/>
        <charset val="134"/>
      </rPr>
      <t>15</t>
    </r>
    <r>
      <rPr>
        <sz val="8.8"/>
        <rFont val="宋体"/>
        <charset val="134"/>
      </rPr>
      <t>℃～</t>
    </r>
    <r>
      <rPr>
        <sz val="8.8"/>
        <rFont val="Times New Roman"/>
        <charset val="134"/>
      </rPr>
      <t>40</t>
    </r>
    <r>
      <rPr>
        <sz val="8.8"/>
        <rFont val="宋体"/>
        <charset val="134"/>
      </rPr>
      <t>℃）保持至少</t>
    </r>
    <r>
      <rPr>
        <sz val="8.8"/>
        <rFont val="Times New Roman"/>
        <charset val="134"/>
      </rPr>
      <t>96</t>
    </r>
    <r>
      <rPr>
        <sz val="8.8"/>
        <rFont val="宋体"/>
        <charset val="134"/>
      </rPr>
      <t>小时自然时效至</t>
    </r>
    <r>
      <rPr>
        <sz val="8.8"/>
        <rFont val="Times New Roman"/>
        <charset val="134"/>
      </rPr>
      <t>T42</t>
    </r>
    <r>
      <rPr>
        <sz val="8.8"/>
        <rFont val="宋体"/>
        <charset val="134"/>
      </rPr>
      <t>状态后，按照</t>
    </r>
    <r>
      <rPr>
        <sz val="8.8"/>
        <rFont val="Times New Roman"/>
        <charset val="134"/>
      </rPr>
      <t>XA-Lab-2301</t>
    </r>
    <r>
      <rPr>
        <sz val="8.8"/>
        <rFont val="宋体"/>
        <charset val="134"/>
      </rPr>
      <t>和</t>
    </r>
    <r>
      <rPr>
        <sz val="8.8"/>
        <rFont val="Times New Roman"/>
        <charset val="134"/>
      </rPr>
      <t>AITM6-6004</t>
    </r>
    <r>
      <rPr>
        <sz val="8.8"/>
        <rFont val="宋体"/>
        <charset val="134"/>
      </rPr>
      <t>在有效测试区域内进行电导率测试，电导率满足</t>
    </r>
    <r>
      <rPr>
        <sz val="8.8"/>
        <rFont val="Times New Roman"/>
        <charset val="134"/>
      </rPr>
      <t xml:space="preserve"> </t>
    </r>
    <r>
      <rPr>
        <sz val="8.8"/>
        <rFont val="宋体"/>
        <charset val="134"/>
      </rPr>
      <t>：（</t>
    </r>
    <r>
      <rPr>
        <sz val="8.8"/>
        <rFont val="Times New Roman"/>
        <charset val="134"/>
      </rPr>
      <t>16.5-21.5</t>
    </r>
    <r>
      <rPr>
        <sz val="8.8"/>
        <rFont val="宋体"/>
        <charset val="134"/>
      </rPr>
      <t>）</t>
    </r>
    <r>
      <rPr>
        <sz val="8.8"/>
        <rFont val="Times New Roman"/>
        <charset val="134"/>
      </rPr>
      <t>MS/m</t>
    </r>
    <r>
      <rPr>
        <sz val="8.8"/>
        <rFont val="宋体"/>
        <charset val="134"/>
      </rPr>
      <t xml:space="preserve">。
</t>
    </r>
    <r>
      <rPr>
        <sz val="8.8"/>
        <rFont val="Times New Roman"/>
        <charset val="134"/>
      </rPr>
      <t>After natural aging at RT (15</t>
    </r>
    <r>
      <rPr>
        <sz val="8.8"/>
        <rFont val="宋体"/>
        <charset val="134"/>
      </rPr>
      <t>℃～</t>
    </r>
    <r>
      <rPr>
        <sz val="8.8"/>
        <rFont val="Times New Roman"/>
        <charset val="134"/>
      </rPr>
      <t>40</t>
    </r>
    <r>
      <rPr>
        <sz val="8.8"/>
        <rFont val="宋体"/>
        <charset val="134"/>
      </rPr>
      <t>℃</t>
    </r>
    <r>
      <rPr>
        <sz val="8.8"/>
        <rFont val="Times New Roman"/>
        <charset val="134"/>
      </rPr>
      <t>) for 96 hours minimum to T42 temper, electrical Conductivity Test in the effective test area as per XA-Lab-2301 and AITM6-6004, test value shall meet the requirement</t>
    </r>
    <r>
      <rPr>
        <sz val="8.8"/>
        <rFont val="宋体"/>
        <charset val="134"/>
      </rPr>
      <t>：（</t>
    </r>
    <r>
      <rPr>
        <sz val="8.8"/>
        <rFont val="Times New Roman"/>
        <charset val="134"/>
      </rPr>
      <t>16.5-21.5</t>
    </r>
    <r>
      <rPr>
        <sz val="8.8"/>
        <rFont val="宋体"/>
        <charset val="134"/>
      </rPr>
      <t>）</t>
    </r>
    <r>
      <rPr>
        <sz val="8.8"/>
        <rFont val="Times New Roman"/>
        <charset val="134"/>
      </rPr>
      <t xml:space="preserve">MS/m.
</t>
    </r>
    <r>
      <rPr>
        <sz val="8.8"/>
        <rFont val="宋体"/>
        <charset val="134"/>
      </rPr>
      <t>测试结果</t>
    </r>
    <r>
      <rPr>
        <sz val="8.8"/>
        <rFont val="Times New Roman"/>
        <charset val="134"/>
      </rPr>
      <t xml:space="preserve">/Test value:________________________
</t>
    </r>
    <r>
      <rPr>
        <sz val="8.8"/>
        <rFont val="宋体"/>
        <charset val="134"/>
      </rPr>
      <t>测试时间</t>
    </r>
    <r>
      <rPr>
        <sz val="8.8"/>
        <rFont val="Times New Roman"/>
        <charset val="134"/>
      </rPr>
      <t>/Operating time: ________________________</t>
    </r>
  </si>
  <si>
    <t>电导率</t>
  </si>
  <si>
    <t>Electrical Conductivity Test</t>
  </si>
  <si>
    <t>1、按照XA-OI-0201-03/AIPS 02-01-003文件要求，执行K7程序进行非紧公差、不封闭的酒石酸阳极化处理，在质量记录一列记录生产记录编号；
Perform unsealed TSA of aluminum alloys for no tight dimensional tolerance per K7 program according to XA-OI-0201-03/AIPS 02-01-003, fill the production record No. in the quality record column.
2、按照XA-QI-0201文件要求进行质量检验。
Quality inspection per XA-QI-0201.</t>
  </si>
  <si>
    <r>
      <rPr>
        <sz val="8.8"/>
        <color rgb="FF000000"/>
        <rFont val="宋体"/>
        <charset val="134"/>
      </rPr>
      <t>开工时间</t>
    </r>
    <r>
      <rPr>
        <sz val="8.8"/>
        <color rgb="FF000000"/>
        <rFont val="Times New Roman"/>
        <charset val="134"/>
      </rPr>
      <t xml:space="preserve">Start time
</t>
    </r>
    <r>
      <rPr>
        <u/>
        <sz val="8.8"/>
        <color rgb="FF000000"/>
        <rFont val="Times New Roman"/>
        <charset val="134"/>
      </rPr>
      <t xml:space="preserve">
</t>
    </r>
    <r>
      <rPr>
        <sz val="8.8"/>
        <color rgb="FF000000"/>
        <rFont val="Times New Roman"/>
        <charset val="134"/>
      </rPr>
      <t xml:space="preserve">_____________
</t>
    </r>
    <r>
      <rPr>
        <sz val="8.8"/>
        <color rgb="FF000000"/>
        <rFont val="宋体"/>
        <charset val="134"/>
      </rPr>
      <t>完工时间</t>
    </r>
    <r>
      <rPr>
        <sz val="8.8"/>
        <color rgb="FF000000"/>
        <rFont val="Times New Roman"/>
        <charset val="134"/>
      </rPr>
      <t>Finish time
_____________</t>
    </r>
  </si>
  <si>
    <t>AIPS/AIPI酒石酸硫酸阳极化紧公差不封闭</t>
  </si>
  <si>
    <t>AIPS/AIPI unsealed TSA for tight dimensional tolerance</t>
  </si>
  <si>
    <r>
      <rPr>
        <sz val="8.8"/>
        <rFont val="Times New Roman"/>
        <charset val="134"/>
      </rPr>
      <t>1</t>
    </r>
    <r>
      <rPr>
        <sz val="8.8"/>
        <rFont val="宋体"/>
        <charset val="134"/>
      </rPr>
      <t>、阳极化后</t>
    </r>
    <r>
      <rPr>
        <sz val="8.8"/>
        <rFont val="Times New Roman"/>
        <charset val="134"/>
      </rPr>
      <t>24</t>
    </r>
    <r>
      <rPr>
        <sz val="8.8"/>
        <rFont val="宋体"/>
        <charset val="134"/>
      </rPr>
      <t>小时之内，按照文件</t>
    </r>
    <r>
      <rPr>
        <sz val="8.8"/>
        <rFont val="Times New Roman"/>
        <charset val="134"/>
      </rPr>
      <t>XA-OI-0501-03/AIPS 05-02-009</t>
    </r>
    <r>
      <rPr>
        <sz val="8.8"/>
        <rFont val="宋体"/>
        <charset val="134"/>
      </rPr>
      <t>文件要求，喷涂</t>
    </r>
    <r>
      <rPr>
        <sz val="8.8"/>
        <rFont val="Times New Roman"/>
        <charset val="134"/>
      </rPr>
      <t>P60-A</t>
    </r>
    <r>
      <rPr>
        <sz val="8.8"/>
        <rFont val="宋体"/>
        <charset val="134"/>
      </rPr>
      <t xml:space="preserve">底漆，在质量记录一列记录喷漆记录编号及漆膜厚度范围值；
</t>
    </r>
    <r>
      <rPr>
        <sz val="8.8"/>
        <rFont val="Times New Roman"/>
        <charset val="134"/>
      </rPr>
      <t>P60-A primer painting per XA-OI-0501-03/AIPS 05-02-009 within 24 hours after anodizing, fill the painting record No. in the quality record column and record film thickness range.
2</t>
    </r>
    <r>
      <rPr>
        <sz val="8.8"/>
        <rFont val="宋体"/>
        <charset val="134"/>
      </rPr>
      <t>、按照</t>
    </r>
    <r>
      <rPr>
        <sz val="8.8"/>
        <rFont val="Times New Roman"/>
        <charset val="134"/>
      </rPr>
      <t>XA-QI-0501-03</t>
    </r>
    <r>
      <rPr>
        <sz val="8.8"/>
        <rFont val="宋体"/>
        <charset val="134"/>
      </rPr>
      <t xml:space="preserve">文件要求进行质量检验。
</t>
    </r>
    <r>
      <rPr>
        <sz val="8.8"/>
        <rFont val="Times New Roman"/>
        <charset val="134"/>
      </rPr>
      <t xml:space="preserve">Quality inspection per XA-QI-0501-03.
</t>
    </r>
    <r>
      <rPr>
        <sz val="8.8"/>
        <rFont val="宋体"/>
        <charset val="134"/>
      </rPr>
      <t>漆膜厚度要求值：</t>
    </r>
    <r>
      <rPr>
        <sz val="8.8"/>
        <rFont val="Times New Roman"/>
        <charset val="134"/>
      </rPr>
      <t xml:space="preserve">15-25μm
Film thickness value range shall be 15-25μm
</t>
    </r>
    <r>
      <rPr>
        <sz val="8.8"/>
        <rFont val="宋体"/>
        <charset val="134"/>
      </rPr>
      <t>记录漆膜厚度范围值</t>
    </r>
    <r>
      <rPr>
        <sz val="8.8"/>
        <rFont val="Times New Roman"/>
        <charset val="134"/>
      </rPr>
      <t>/ record the range of dry film thickness</t>
    </r>
    <r>
      <rPr>
        <sz val="8.8"/>
        <rFont val="宋体"/>
        <charset val="134"/>
      </rPr>
      <t>：</t>
    </r>
    <r>
      <rPr>
        <sz val="8.8"/>
        <rFont val="Times New Roman"/>
        <charset val="134"/>
      </rPr>
      <t>_________________________</t>
    </r>
  </si>
  <si>
    <t>AIPS/AIPI喷P60-A底漆</t>
  </si>
  <si>
    <t>AIPS/AIPI P60-A primer painting</t>
  </si>
  <si>
    <r>
      <rPr>
        <sz val="8.8"/>
        <rFont val="Times New Roman"/>
        <charset val="134"/>
      </rPr>
      <t>1</t>
    </r>
    <r>
      <rPr>
        <sz val="8.8"/>
        <rFont val="宋体"/>
        <charset val="134"/>
      </rPr>
      <t>、底漆喷涂后</t>
    </r>
    <r>
      <rPr>
        <sz val="8.8"/>
        <rFont val="Times New Roman"/>
        <charset val="134"/>
      </rPr>
      <t>48</t>
    </r>
    <r>
      <rPr>
        <sz val="8.8"/>
        <rFont val="宋体"/>
        <charset val="134"/>
      </rPr>
      <t>小时内，按照文件</t>
    </r>
    <r>
      <rPr>
        <sz val="8.8"/>
        <rFont val="Times New Roman"/>
        <charset val="134"/>
      </rPr>
      <t>XA-OI-0501-04/AIPS 05-02-009</t>
    </r>
    <r>
      <rPr>
        <sz val="8.8"/>
        <rFont val="宋体"/>
        <charset val="134"/>
      </rPr>
      <t>文件要求，喷涂</t>
    </r>
    <r>
      <rPr>
        <sz val="8.8"/>
        <rFont val="Times New Roman"/>
        <charset val="134"/>
      </rPr>
      <t>F70-A</t>
    </r>
    <r>
      <rPr>
        <sz val="8.8"/>
        <rFont val="宋体"/>
        <charset val="134"/>
      </rPr>
      <t xml:space="preserve">面漆，在质量记录一列记录喷漆记录编号及漆膜厚度范围值；
</t>
    </r>
    <r>
      <rPr>
        <sz val="8.8"/>
        <rFont val="Times New Roman"/>
        <charset val="134"/>
      </rPr>
      <t>F70-A topcoat painting per XA-OI-0501-04/AIPS 05-02-009 within 48 hours after primer painting, fill the painting record No. in the quality record column and record film thickness range.
2</t>
    </r>
    <r>
      <rPr>
        <sz val="8.8"/>
        <rFont val="宋体"/>
        <charset val="134"/>
      </rPr>
      <t>、按照</t>
    </r>
    <r>
      <rPr>
        <sz val="8.8"/>
        <rFont val="Times New Roman"/>
        <charset val="134"/>
      </rPr>
      <t>XA-QI-0501-04</t>
    </r>
    <r>
      <rPr>
        <sz val="8.8"/>
        <rFont val="宋体"/>
        <charset val="134"/>
      </rPr>
      <t xml:space="preserve">文件要求进行质量检验。
</t>
    </r>
    <r>
      <rPr>
        <sz val="8.8"/>
        <rFont val="Times New Roman"/>
        <charset val="134"/>
      </rPr>
      <t xml:space="preserve">Quality inspection per XA-QI-0501-04.
</t>
    </r>
    <r>
      <rPr>
        <sz val="8.8"/>
        <rFont val="宋体"/>
        <charset val="134"/>
      </rPr>
      <t>漆膜厚度要求值：</t>
    </r>
    <r>
      <rPr>
        <sz val="8.8"/>
        <rFont val="Times New Roman"/>
        <charset val="134"/>
      </rPr>
      <t xml:space="preserve">20-30μm
Film thickness value range shall be 20-30μm
</t>
    </r>
    <r>
      <rPr>
        <sz val="8.8"/>
        <rFont val="宋体"/>
        <charset val="134"/>
      </rPr>
      <t>记录漆膜厚度范围值</t>
    </r>
    <r>
      <rPr>
        <sz val="8.8"/>
        <rFont val="Times New Roman"/>
        <charset val="134"/>
      </rPr>
      <t>/ record the range of dry film thickness</t>
    </r>
    <r>
      <rPr>
        <sz val="8.8"/>
        <rFont val="宋体"/>
        <charset val="134"/>
      </rPr>
      <t>：</t>
    </r>
    <r>
      <rPr>
        <sz val="8.8"/>
        <rFont val="Times New Roman"/>
        <charset val="134"/>
      </rPr>
      <t>_________________________</t>
    </r>
  </si>
  <si>
    <t>AIPS/AIPI喷F70-A面漆</t>
  </si>
  <si>
    <t>AIPS/AIPI F70-A topcoat painting</t>
  </si>
  <si>
    <r>
      <rPr>
        <sz val="8.8"/>
        <rFont val="宋体"/>
        <charset val="134"/>
      </rPr>
      <t>使用喷码机在草图</t>
    </r>
    <r>
      <rPr>
        <sz val="8.8"/>
        <rFont val="Times New Roman"/>
        <charset val="134"/>
      </rPr>
      <t>1</t>
    </r>
    <r>
      <rPr>
        <sz val="8.8"/>
        <rFont val="宋体"/>
        <charset val="134"/>
      </rPr>
      <t>所示位置喷涂零件标识，按</t>
    </r>
    <r>
      <rPr>
        <sz val="8.8"/>
        <rFont val="Times New Roman"/>
        <charset val="134"/>
      </rPr>
      <t>ABD0003/AIPS-08-01-001/XA-OI-0801-02</t>
    </r>
    <r>
      <rPr>
        <sz val="8.8"/>
        <rFont val="宋体"/>
        <charset val="134"/>
      </rPr>
      <t xml:space="preserve">执行。
</t>
    </r>
    <r>
      <rPr>
        <sz val="8.8"/>
        <rFont val="Times New Roman"/>
        <charset val="134"/>
      </rPr>
      <t xml:space="preserve">Use inkjet paint the part at the position where sketch1 indicated, operated as is seen in XA-OI-0801-02.
</t>
    </r>
    <r>
      <rPr>
        <sz val="8.8"/>
        <rFont val="宋体"/>
        <charset val="134"/>
      </rPr>
      <t>检验要求见</t>
    </r>
    <r>
      <rPr>
        <sz val="8.8"/>
        <rFont val="Times New Roman"/>
        <charset val="134"/>
      </rPr>
      <t>XA-QI-0801-02</t>
    </r>
    <r>
      <rPr>
        <sz val="8.8"/>
        <rFont val="宋体"/>
        <charset val="134"/>
      </rPr>
      <t xml:space="preserve">。
</t>
    </r>
    <r>
      <rPr>
        <sz val="8.8"/>
        <rFont val="Times New Roman"/>
        <charset val="134"/>
      </rPr>
      <t>The inspection requirement is in ABD0003/AIPS-08-01-001/XA-QI-0801-02.</t>
    </r>
  </si>
  <si>
    <t>喷码</t>
  </si>
  <si>
    <t>Marking</t>
  </si>
  <si>
    <r>
      <rPr>
        <sz val="8.8"/>
        <rFont val="Times New Roman"/>
        <charset val="134"/>
      </rPr>
      <t>1</t>
    </r>
    <r>
      <rPr>
        <sz val="8.8"/>
        <rFont val="宋体"/>
        <charset val="134"/>
      </rPr>
      <t>、按</t>
    </r>
    <r>
      <rPr>
        <sz val="8.8"/>
        <rFont val="Times New Roman"/>
        <charset val="134"/>
      </rPr>
      <t>XA-QI-0313</t>
    </r>
    <r>
      <rPr>
        <sz val="8.8"/>
        <rFont val="宋体"/>
        <charset val="134"/>
      </rPr>
      <t>终检</t>
    </r>
    <r>
      <rPr>
        <sz val="8.8"/>
        <rFont val="Times New Roman"/>
        <charset val="134"/>
      </rPr>
      <t>;
Final Inspection per XA-QI-0313;
2</t>
    </r>
    <r>
      <rPr>
        <sz val="8.8"/>
        <rFont val="宋体"/>
        <charset val="134"/>
      </rPr>
      <t>、开具合格证，在质量记录一列记录合格证编号</t>
    </r>
    <r>
      <rPr>
        <sz val="8.8"/>
        <rFont val="Times New Roman"/>
        <charset val="134"/>
      </rPr>
      <t>;
Issue Certificate and record in the Quality Record column</t>
    </r>
    <r>
      <rPr>
        <sz val="8.8"/>
        <rFont val="宋体"/>
        <charset val="134"/>
      </rPr>
      <t>。</t>
    </r>
  </si>
  <si>
    <t>零件终检</t>
  </si>
  <si>
    <t>Final Inspection</t>
  </si>
  <si>
    <r>
      <rPr>
        <sz val="8.8"/>
        <rFont val="宋体"/>
        <charset val="134"/>
      </rPr>
      <t>按</t>
    </r>
    <r>
      <rPr>
        <sz val="8.8"/>
        <rFont val="Times New Roman"/>
        <charset val="134"/>
      </rPr>
      <t>XA-OI-1001-01</t>
    </r>
    <r>
      <rPr>
        <sz val="8.8"/>
        <rFont val="宋体"/>
        <charset val="134"/>
      </rPr>
      <t xml:space="preserve">将零件放入聚乙烯薄膜袋中并塑封，将零件移交至零件库房，做好零件入库记录，本记录交由品质部归档。
</t>
    </r>
    <r>
      <rPr>
        <sz val="8.8"/>
        <rFont val="Times New Roman"/>
        <charset val="134"/>
      </rPr>
      <t>Place parts in polyethylene bags and sealed according to XA-OI-1001-01,transfer the parts to partswarehouse,complete in-stock record,transfer the Traveler to Quality Department.</t>
    </r>
  </si>
  <si>
    <t>成品入库</t>
  </si>
  <si>
    <t>Storage</t>
  </si>
  <si>
    <t>文件编号及版次：
File Number:</t>
  </si>
  <si>
    <t xml:space="preserve"> XA-FT- </t>
  </si>
  <si>
    <t>作业号
Job Number</t>
  </si>
  <si>
    <r>
      <rPr>
        <b/>
        <sz val="10"/>
        <color rgb="FF000000"/>
        <rFont val="Times New Roman"/>
        <charset val="134"/>
      </rPr>
      <t>工序号
Process    No</t>
    </r>
  </si>
  <si>
    <r>
      <rPr>
        <sz val="10"/>
        <rFont val="宋体"/>
        <charset val="134"/>
      </rPr>
      <t>草图</t>
    </r>
    <r>
      <rPr>
        <sz val="10"/>
        <rFont val="Times New Roman"/>
        <charset val="134"/>
      </rPr>
      <t>1
Sketch 1</t>
    </r>
  </si>
  <si>
    <r>
      <t>说明</t>
    </r>
    <r>
      <rPr>
        <sz val="10"/>
        <rFont val="Times New Roman"/>
        <charset val="134"/>
      </rPr>
      <t xml:space="preserve">
Note</t>
    </r>
  </si>
  <si>
    <r>
      <rPr>
        <sz val="10"/>
        <rFont val="等线"/>
        <charset val="134"/>
      </rPr>
      <t>Ф6.2±0.1mm、Ф</t>
    </r>
    <r>
      <rPr>
        <sz val="10"/>
        <rFont val="Times New Roman"/>
        <charset val="134"/>
      </rPr>
      <t>3.2±0.1mm</t>
    </r>
    <r>
      <rPr>
        <sz val="10"/>
        <rFont val="等线"/>
        <charset val="134"/>
      </rPr>
      <t>、</t>
    </r>
    <r>
      <rPr>
        <sz val="10"/>
        <rFont val="Times New Roman"/>
        <charset val="134"/>
      </rPr>
      <t>H=8±0.8mm</t>
    </r>
    <r>
      <rPr>
        <sz val="10"/>
        <rFont val="等线"/>
        <charset val="134"/>
      </rPr>
      <t>、</t>
    </r>
    <r>
      <rPr>
        <sz val="10"/>
        <rFont val="Times New Roman"/>
        <charset val="134"/>
      </rPr>
      <t>H=21.5±0.8mm</t>
    </r>
    <r>
      <rPr>
        <sz val="10"/>
        <rFont val="等线"/>
        <charset val="134"/>
      </rPr>
      <t>、H=35.5±1mm、DN 90°±1°、R=4+1.5mm</t>
    </r>
  </si>
  <si>
    <r>
      <rPr>
        <b/>
        <sz val="12"/>
        <color rgb="FF000000"/>
        <rFont val="宋体"/>
        <charset val="134"/>
      </rPr>
      <t xml:space="preserve">工序附图说明
</t>
    </r>
    <r>
      <rPr>
        <b/>
        <sz val="12"/>
        <color rgb="FF000000"/>
        <rFont val="Times New Roman"/>
        <charset val="134"/>
      </rPr>
      <t>Process  sketch  Note</t>
    </r>
  </si>
  <si>
    <r>
      <rPr>
        <sz val="10"/>
        <rFont val="宋体"/>
        <charset val="134"/>
      </rPr>
      <t>草图</t>
    </r>
    <r>
      <rPr>
        <sz val="10"/>
        <rFont val="Times New Roman"/>
        <charset val="134"/>
      </rPr>
      <t>2
Sketch 2</t>
    </r>
  </si>
  <si>
    <r>
      <rPr>
        <sz val="10"/>
        <rFont val="宋体"/>
        <charset val="134"/>
      </rPr>
      <t>说明</t>
    </r>
    <r>
      <rPr>
        <sz val="10"/>
        <rFont val="Times New Roman"/>
        <charset val="134"/>
      </rPr>
      <t xml:space="preserve">
Note</t>
    </r>
  </si>
  <si>
    <t>N/A</t>
  </si>
  <si>
    <r>
      <rPr>
        <b/>
        <sz val="12"/>
        <color rgb="FF000000"/>
        <rFont val="Times New Roman"/>
        <charset val="134"/>
      </rPr>
      <t>“W/AQ”</t>
    </r>
    <r>
      <rPr>
        <b/>
        <sz val="12"/>
        <color rgb="FF000000"/>
        <rFont val="宋体"/>
        <charset val="134"/>
      </rPr>
      <t>状态成形</t>
    </r>
    <r>
      <rPr>
        <b/>
        <sz val="12"/>
        <color rgb="FF000000"/>
        <rFont val="Times New Roman"/>
        <charset val="134"/>
      </rPr>
      <t>/</t>
    </r>
    <r>
      <rPr>
        <b/>
        <sz val="12"/>
        <color rgb="FF000000"/>
        <rFont val="宋体"/>
        <charset val="134"/>
      </rPr>
      <t xml:space="preserve">校形记录
</t>
    </r>
    <r>
      <rPr>
        <b/>
        <sz val="12"/>
        <color rgb="FF000000"/>
        <rFont val="Times New Roman"/>
        <charset val="134"/>
      </rPr>
      <t>“W/AQ” Condition Forming/Straightening Record</t>
    </r>
  </si>
  <si>
    <r>
      <rPr>
        <b/>
        <sz val="10"/>
        <color rgb="FF000000"/>
        <rFont val="宋体"/>
        <charset val="134"/>
      </rPr>
      <t>出炉日期</t>
    </r>
    <r>
      <rPr>
        <b/>
        <sz val="10"/>
        <color rgb="FF000000"/>
        <rFont val="Times New Roman"/>
        <charset val="134"/>
      </rPr>
      <t>/</t>
    </r>
    <r>
      <rPr>
        <b/>
        <sz val="10"/>
        <color rgb="FF000000"/>
        <rFont val="宋体"/>
        <charset val="134"/>
      </rPr>
      <t xml:space="preserve">时间
</t>
    </r>
    <r>
      <rPr>
        <b/>
        <sz val="10"/>
        <color rgb="FF000000"/>
        <rFont val="Times New Roman"/>
        <charset val="134"/>
      </rPr>
      <t>Unloading date/time</t>
    </r>
  </si>
  <si>
    <r>
      <rPr>
        <b/>
        <sz val="10"/>
        <rFont val="宋体"/>
        <charset val="134"/>
      </rPr>
      <t xml:space="preserve">检验员
</t>
    </r>
    <r>
      <rPr>
        <b/>
        <sz val="10"/>
        <rFont val="Times New Roman"/>
        <charset val="134"/>
      </rPr>
      <t>Inspector</t>
    </r>
  </si>
  <si>
    <r>
      <rPr>
        <b/>
        <sz val="10"/>
        <rFont val="宋体"/>
        <charset val="134"/>
      </rPr>
      <t xml:space="preserve">数量
</t>
    </r>
    <r>
      <rPr>
        <b/>
        <sz val="10"/>
        <rFont val="Times New Roman"/>
        <charset val="134"/>
      </rPr>
      <t>Qty.</t>
    </r>
  </si>
  <si>
    <r>
      <rPr>
        <b/>
        <sz val="10"/>
        <rFont val="宋体"/>
        <charset val="134"/>
      </rPr>
      <t>存入日期</t>
    </r>
    <r>
      <rPr>
        <b/>
        <sz val="10"/>
        <rFont val="Times New Roman"/>
        <charset val="134"/>
      </rPr>
      <t>/</t>
    </r>
    <r>
      <rPr>
        <b/>
        <sz val="10"/>
        <rFont val="宋体"/>
        <charset val="134"/>
      </rPr>
      <t xml:space="preserve">时间
</t>
    </r>
    <r>
      <rPr>
        <b/>
        <sz val="10"/>
        <rFont val="Times New Roman"/>
        <charset val="134"/>
      </rPr>
      <t>Date/time In</t>
    </r>
  </si>
  <si>
    <r>
      <rPr>
        <b/>
        <sz val="10"/>
        <rFont val="宋体"/>
        <charset val="134"/>
      </rPr>
      <t xml:space="preserve">操作者
</t>
    </r>
    <r>
      <rPr>
        <b/>
        <sz val="10"/>
        <rFont val="Times New Roman"/>
        <charset val="134"/>
      </rPr>
      <t>Operator</t>
    </r>
  </si>
  <si>
    <r>
      <rPr>
        <b/>
        <sz val="10"/>
        <rFont val="宋体"/>
        <charset val="134"/>
      </rPr>
      <t>取出日期</t>
    </r>
    <r>
      <rPr>
        <b/>
        <sz val="10"/>
        <rFont val="Times New Roman"/>
        <charset val="134"/>
      </rPr>
      <t>/</t>
    </r>
    <r>
      <rPr>
        <b/>
        <sz val="10"/>
        <rFont val="宋体"/>
        <charset val="134"/>
      </rPr>
      <t xml:space="preserve">时间
</t>
    </r>
    <r>
      <rPr>
        <b/>
        <sz val="10"/>
        <rFont val="Times New Roman"/>
        <charset val="134"/>
      </rPr>
      <t>Date/time Out</t>
    </r>
  </si>
  <si>
    <r>
      <rPr>
        <b/>
        <sz val="10"/>
        <rFont val="宋体"/>
        <charset val="134"/>
      </rPr>
      <t xml:space="preserve">取出数量
</t>
    </r>
    <r>
      <rPr>
        <b/>
        <sz val="10"/>
        <rFont val="Times New Roman"/>
        <charset val="134"/>
      </rPr>
      <t>Remove Qty.</t>
    </r>
  </si>
  <si>
    <r>
      <rPr>
        <b/>
        <sz val="10"/>
        <rFont val="宋体"/>
        <charset val="134"/>
      </rPr>
      <t xml:space="preserve">室温（℃）
</t>
    </r>
    <r>
      <rPr>
        <b/>
        <sz val="10"/>
        <rFont val="Times New Roman"/>
        <charset val="134"/>
      </rPr>
      <t>Room temperature</t>
    </r>
  </si>
  <si>
    <r>
      <rPr>
        <b/>
        <sz val="10"/>
        <rFont val="宋体"/>
        <charset val="134"/>
      </rPr>
      <t>成形</t>
    </r>
    <r>
      <rPr>
        <b/>
        <sz val="10"/>
        <rFont val="Times New Roman"/>
        <charset val="134"/>
      </rPr>
      <t>/</t>
    </r>
    <r>
      <rPr>
        <b/>
        <sz val="10"/>
        <rFont val="宋体"/>
        <charset val="134"/>
      </rPr>
      <t>校形完成日期</t>
    </r>
    <r>
      <rPr>
        <b/>
        <sz val="10"/>
        <rFont val="Times New Roman"/>
        <charset val="134"/>
      </rPr>
      <t>/</t>
    </r>
    <r>
      <rPr>
        <b/>
        <sz val="10"/>
        <rFont val="宋体"/>
        <charset val="134"/>
      </rPr>
      <t xml:space="preserve">时间
</t>
    </r>
    <r>
      <rPr>
        <b/>
        <sz val="10"/>
        <rFont val="Times New Roman"/>
        <charset val="134"/>
      </rPr>
      <t>Forming/Straightening finish date/time</t>
    </r>
  </si>
  <si>
    <r>
      <rPr>
        <b/>
        <sz val="10"/>
        <rFont val="宋体"/>
        <charset val="134"/>
      </rPr>
      <t xml:space="preserve">数量
</t>
    </r>
    <r>
      <rPr>
        <b/>
        <sz val="10"/>
        <rFont val="Times New Roman"/>
        <charset val="134"/>
      </rPr>
      <t xml:space="preserve">Qty. </t>
    </r>
  </si>
  <si>
    <r>
      <rPr>
        <b/>
        <sz val="12"/>
        <color rgb="FF000000"/>
        <rFont val="宋体"/>
        <charset val="134"/>
      </rPr>
      <t>版次记录</t>
    </r>
    <r>
      <rPr>
        <b/>
        <sz val="12"/>
        <color rgb="FF000000"/>
        <rFont val="Times New Roman"/>
        <charset val="134"/>
      </rPr>
      <t xml:space="preserve"> 
RECORD OF REVISIONS</t>
    </r>
  </si>
  <si>
    <r>
      <rPr>
        <sz val="10"/>
        <color rgb="FF000000"/>
        <rFont val="宋体"/>
        <charset val="134"/>
      </rPr>
      <t xml:space="preserve">版次
</t>
    </r>
    <r>
      <rPr>
        <sz val="10"/>
        <color rgb="FF000000"/>
        <rFont val="Times New Roman"/>
        <charset val="134"/>
      </rPr>
      <t>REV</t>
    </r>
  </si>
  <si>
    <r>
      <rPr>
        <sz val="10"/>
        <color rgb="FF000000"/>
        <rFont val="宋体"/>
        <charset val="134"/>
      </rPr>
      <t xml:space="preserve">更改前内容
</t>
    </r>
    <r>
      <rPr>
        <sz val="10"/>
        <color rgb="FF000000"/>
        <rFont val="Times New Roman"/>
        <charset val="134"/>
      </rPr>
      <t>CONTENT BEFORE CHANGE</t>
    </r>
  </si>
  <si>
    <r>
      <rPr>
        <sz val="10"/>
        <rFont val="宋体"/>
        <charset val="134"/>
      </rPr>
      <t xml:space="preserve">更改后内容
</t>
    </r>
    <r>
      <rPr>
        <sz val="10"/>
        <rFont val="Times New Roman"/>
        <charset val="134"/>
      </rPr>
      <t>CONTENT AFTER CHANGE</t>
    </r>
  </si>
  <si>
    <r>
      <rPr>
        <sz val="10"/>
        <color rgb="FF000000"/>
        <rFont val="宋体"/>
        <charset val="134"/>
      </rPr>
      <t xml:space="preserve">更改依据
</t>
    </r>
    <r>
      <rPr>
        <sz val="10"/>
        <color rgb="FF000000"/>
        <rFont val="Times New Roman"/>
        <charset val="134"/>
      </rPr>
      <t>SOURCE</t>
    </r>
  </si>
  <si>
    <r>
      <rPr>
        <sz val="10"/>
        <color rgb="FF000000"/>
        <rFont val="Times New Roman"/>
        <charset val="134"/>
      </rPr>
      <t>A1</t>
    </r>
  </si>
  <si>
    <t>NEW</t>
  </si>
  <si>
    <r>
      <rPr>
        <sz val="10"/>
        <color rgb="FF000000"/>
        <rFont val="Times New Roman"/>
        <charset val="134"/>
      </rPr>
      <t>A2</t>
    </r>
  </si>
  <si>
    <r>
      <rPr>
        <sz val="10"/>
        <rFont val="宋体"/>
        <charset val="134"/>
      </rPr>
      <t>更新草图</t>
    </r>
    <r>
      <rPr>
        <sz val="10"/>
        <rFont val="Times New Roman"/>
        <charset val="134"/>
      </rPr>
      <t xml:space="preserve"> Sketch update</t>
    </r>
  </si>
  <si>
    <r>
      <rPr>
        <sz val="10"/>
        <color rgb="FF000000"/>
        <rFont val="宋体"/>
        <charset val="134"/>
      </rPr>
      <t>工艺完善</t>
    </r>
    <r>
      <rPr>
        <sz val="10"/>
        <color rgb="FF000000"/>
        <rFont val="Times New Roman"/>
        <charset val="134"/>
      </rPr>
      <t xml:space="preserve"> Process perfect</t>
    </r>
  </si>
  <si>
    <r>
      <rPr>
        <sz val="10"/>
        <color rgb="FF000000"/>
        <rFont val="Times New Roman"/>
        <charset val="134"/>
      </rPr>
      <t>A3</t>
    </r>
  </si>
  <si>
    <t>材料定额material 490.5*198mm</t>
  </si>
  <si>
    <t>材料定额material 465.3*172.5mm</t>
  </si>
  <si>
    <r>
      <rPr>
        <sz val="10"/>
        <color rgb="FF000000"/>
        <rFont val="宋体"/>
        <charset val="134"/>
      </rPr>
      <t>工艺优化</t>
    </r>
    <r>
      <rPr>
        <sz val="10"/>
        <color rgb="FF000000"/>
        <rFont val="Times New Roman"/>
        <charset val="134"/>
      </rPr>
      <t>/process optimization</t>
    </r>
  </si>
  <si>
    <t>固溶前成型/Hydraulic Forming before heat treatment</t>
  </si>
  <si>
    <t>固溶后成型/Hydraulic Forming after heat treatment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</si>
</sst>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6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0"/>
      <name val="Verdana"/>
      <charset val="134"/>
    </font>
    <font>
      <b/>
      <sz val="22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sz val="12"/>
      <name val="宋体"/>
      <charset val="134"/>
    </font>
    <font>
      <b/>
      <sz val="12"/>
      <color rgb="FF000000"/>
      <name val="宋体"/>
      <charset val="134"/>
    </font>
    <font>
      <b/>
      <sz val="12"/>
      <color rgb="FF000000"/>
      <name val="Times New Roman"/>
      <charset val="134"/>
    </font>
    <font>
      <sz val="10"/>
      <name val="Times New Roman"/>
      <charset val="134"/>
    </font>
    <font>
      <sz val="10"/>
      <color rgb="FF000000"/>
      <name val="Times New Roman"/>
      <charset val="134"/>
    </font>
    <font>
      <sz val="10"/>
      <name val="Times New Roman"/>
      <charset val="134"/>
    </font>
    <font>
      <sz val="11"/>
      <color theme="1"/>
      <name val="宋体"/>
      <charset val="134"/>
      <scheme val="minor"/>
    </font>
    <font>
      <sz val="12"/>
      <name val="Times New Roman"/>
      <charset val="134"/>
    </font>
    <font>
      <b/>
      <sz val="10"/>
      <color rgb="FF000000"/>
      <name val="Times New Roman"/>
      <charset val="134"/>
    </font>
    <font>
      <b/>
      <sz val="10"/>
      <name val="Times New Roman"/>
      <charset val="134"/>
    </font>
    <font>
      <sz val="12"/>
      <name val="Verdana"/>
      <charset val="134"/>
    </font>
    <font>
      <b/>
      <sz val="12"/>
      <color rgb="FF000000"/>
      <name val="宋体"/>
      <charset val="134"/>
    </font>
    <font>
      <sz val="10"/>
      <name val="宋体"/>
      <charset val="134"/>
    </font>
    <font>
      <sz val="11"/>
      <name val="Times New Roman"/>
      <charset val="134"/>
    </font>
    <font>
      <sz val="8.8"/>
      <color theme="1"/>
      <name val="Times New Roman"/>
      <charset val="134"/>
    </font>
    <font>
      <sz val="12"/>
      <color rgb="FF000000"/>
      <name val="Times New Roman"/>
      <charset val="134"/>
    </font>
    <font>
      <sz val="8"/>
      <color rgb="FF000000"/>
      <name val="Times New Roman"/>
      <charset val="134"/>
    </font>
    <font>
      <b/>
      <sz val="8"/>
      <color rgb="FF000000"/>
      <name val="Times New Roman"/>
      <charset val="134"/>
    </font>
    <font>
      <b/>
      <sz val="8"/>
      <name val="Times New Roman"/>
      <charset val="134"/>
    </font>
    <font>
      <sz val="8"/>
      <name val="Times New Roman"/>
      <charset val="134"/>
    </font>
    <font>
      <b/>
      <sz val="7.5"/>
      <name val="Times New Roman"/>
      <charset val="134"/>
    </font>
    <font>
      <b/>
      <sz val="8"/>
      <name val="Times New Roman"/>
      <charset val="134"/>
    </font>
    <font>
      <sz val="7.5"/>
      <name val="Times New Roman"/>
      <charset val="134"/>
    </font>
    <font>
      <b/>
      <sz val="10"/>
      <color theme="1"/>
      <name val="Times New Roman"/>
      <charset val="134"/>
    </font>
    <font>
      <sz val="8.8"/>
      <name val="Times New Roman"/>
      <charset val="134"/>
    </font>
    <font>
      <sz val="8.8"/>
      <name val="Times New Roman"/>
      <charset val="134"/>
    </font>
    <font>
      <sz val="8.8"/>
      <color rgb="FF000000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0"/>
      <name val="宋体"/>
      <charset val="134"/>
    </font>
    <font>
      <sz val="8"/>
      <name val="宋体"/>
      <charset val="134"/>
    </font>
    <font>
      <b/>
      <sz val="10"/>
      <name val="宋体"/>
      <charset val="134"/>
    </font>
    <font>
      <b/>
      <sz val="8"/>
      <name val="宋体"/>
      <charset val="134"/>
    </font>
    <font>
      <sz val="10"/>
      <color rgb="FF000000"/>
      <name val="宋体"/>
      <charset val="134"/>
    </font>
    <font>
      <sz val="8.8"/>
      <name val="宋体"/>
      <charset val="134"/>
    </font>
    <font>
      <b/>
      <sz val="7.5"/>
      <name val="宋体"/>
      <charset val="134"/>
    </font>
    <font>
      <sz val="8.8"/>
      <color rgb="FF000000"/>
      <name val="宋体"/>
      <charset val="134"/>
    </font>
    <font>
      <u/>
      <sz val="8.8"/>
      <color rgb="FF000000"/>
      <name val="Times New Roman"/>
      <charset val="134"/>
    </font>
    <font>
      <sz val="7.5"/>
      <name val="宋体"/>
      <charset val="134"/>
    </font>
    <font>
      <sz val="10"/>
      <name val="等线"/>
      <charset val="134"/>
    </font>
    <font>
      <sz val="10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0" fillId="3" borderId="14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" applyNumberFormat="0" applyFill="0" applyAlignment="0" applyProtection="0">
      <alignment vertical="center"/>
    </xf>
    <xf numFmtId="0" fontId="40" fillId="0" borderId="15" applyNumberFormat="0" applyFill="0" applyAlignment="0" applyProtection="0">
      <alignment vertical="center"/>
    </xf>
    <xf numFmtId="0" fontId="41" fillId="0" borderId="16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4" borderId="17" applyNumberFormat="0" applyAlignment="0" applyProtection="0">
      <alignment vertical="center"/>
    </xf>
    <xf numFmtId="0" fontId="43" fillId="5" borderId="18" applyNumberFormat="0" applyAlignment="0" applyProtection="0">
      <alignment vertical="center"/>
    </xf>
    <xf numFmtId="0" fontId="44" fillId="5" borderId="17" applyNumberFormat="0" applyAlignment="0" applyProtection="0">
      <alignment vertical="center"/>
    </xf>
    <xf numFmtId="0" fontId="45" fillId="6" borderId="19" applyNumberFormat="0" applyAlignment="0" applyProtection="0">
      <alignment vertical="center"/>
    </xf>
    <xf numFmtId="0" fontId="46" fillId="0" borderId="20" applyNumberFormat="0" applyFill="0" applyAlignment="0" applyProtection="0">
      <alignment vertical="center"/>
    </xf>
    <xf numFmtId="0" fontId="47" fillId="0" borderId="21" applyNumberFormat="0" applyFill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2" fillId="15" borderId="0" applyNumberFormat="0" applyBorder="0" applyAlignment="0" applyProtection="0">
      <alignment vertical="center"/>
    </xf>
    <xf numFmtId="0" fontId="52" fillId="16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3" fillId="0" borderId="0">
      <alignment vertical="center"/>
    </xf>
    <xf numFmtId="0" fontId="13" fillId="0" borderId="0">
      <alignment vertical="center"/>
    </xf>
  </cellStyleXfs>
  <cellXfs count="14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right" vertical="center"/>
    </xf>
    <xf numFmtId="0" fontId="5" fillId="2" borderId="3" xfId="0" applyFont="1" applyFill="1" applyBorder="1" applyAlignment="1">
      <alignment horizontal="left" vertical="center" shrinkToFit="1"/>
    </xf>
    <xf numFmtId="0" fontId="6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 vertical="center"/>
    </xf>
    <xf numFmtId="0" fontId="2" fillId="0" borderId="0" xfId="0" applyFont="1">
      <alignment vertical="center"/>
    </xf>
    <xf numFmtId="0" fontId="8" fillId="0" borderId="1" xfId="0" applyFont="1" applyBorder="1" applyAlignment="1">
      <alignment horizontal="center" vertical="top" wrapText="1"/>
    </xf>
    <xf numFmtId="0" fontId="8" fillId="0" borderId="5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0" borderId="0" xfId="50" applyFont="1">
      <alignment vertical="center"/>
    </xf>
    <xf numFmtId="0" fontId="2" fillId="0" borderId="0" xfId="50" applyFont="1">
      <alignment vertical="center"/>
    </xf>
    <xf numFmtId="0" fontId="2" fillId="0" borderId="0" xfId="50" applyFont="1" applyAlignment="1">
      <alignment vertical="center" wrapText="1"/>
    </xf>
    <xf numFmtId="0" fontId="13" fillId="0" borderId="0" xfId="50">
      <alignment vertical="center"/>
    </xf>
    <xf numFmtId="0" fontId="2" fillId="0" borderId="1" xfId="50" applyFont="1" applyBorder="1" applyAlignment="1">
      <alignment horizontal="center" vertical="center"/>
    </xf>
    <xf numFmtId="0" fontId="3" fillId="0" borderId="1" xfId="50" applyFont="1" applyBorder="1" applyAlignment="1">
      <alignment horizontal="center" vertical="center" wrapText="1"/>
    </xf>
    <xf numFmtId="0" fontId="4" fillId="0" borderId="1" xfId="50" applyFont="1" applyBorder="1" applyAlignment="1">
      <alignment horizontal="center" vertical="top" wrapText="1"/>
    </xf>
    <xf numFmtId="0" fontId="5" fillId="0" borderId="2" xfId="50" applyFont="1" applyBorder="1" applyAlignment="1">
      <alignment horizontal="right" vertical="center"/>
    </xf>
    <xf numFmtId="0" fontId="5" fillId="2" borderId="3" xfId="50" applyFont="1" applyFill="1" applyBorder="1" applyAlignment="1">
      <alignment horizontal="left" vertical="center" shrinkToFit="1"/>
    </xf>
    <xf numFmtId="0" fontId="6" fillId="2" borderId="3" xfId="50" applyFont="1" applyFill="1" applyBorder="1" applyAlignment="1">
      <alignment horizontal="center" vertical="center"/>
    </xf>
    <xf numFmtId="0" fontId="7" fillId="2" borderId="4" xfId="50" applyFont="1" applyFill="1" applyBorder="1" applyAlignment="1">
      <alignment horizontal="left" vertical="center"/>
    </xf>
    <xf numFmtId="0" fontId="8" fillId="0" borderId="1" xfId="50" applyFont="1" applyBorder="1" applyAlignment="1">
      <alignment horizontal="center" vertical="top" wrapText="1"/>
    </xf>
    <xf numFmtId="0" fontId="8" fillId="0" borderId="5" xfId="50" applyFont="1" applyBorder="1" applyAlignment="1">
      <alignment horizontal="center" vertical="top" wrapText="1"/>
    </xf>
    <xf numFmtId="0" fontId="9" fillId="0" borderId="1" xfId="50" applyFont="1" applyBorder="1" applyAlignment="1">
      <alignment horizontal="center" vertical="center" wrapText="1"/>
    </xf>
    <xf numFmtId="0" fontId="14" fillId="0" borderId="0" xfId="50" applyFont="1">
      <alignment vertical="center"/>
    </xf>
    <xf numFmtId="0" fontId="15" fillId="0" borderId="1" xfId="50" applyFont="1" applyBorder="1" applyAlignment="1">
      <alignment horizontal="center" vertical="center" wrapText="1"/>
    </xf>
    <xf numFmtId="0" fontId="16" fillId="0" borderId="2" xfId="50" applyFont="1" applyBorder="1" applyAlignment="1">
      <alignment horizontal="center" vertical="center" wrapText="1"/>
    </xf>
    <xf numFmtId="0" fontId="16" fillId="0" borderId="4" xfId="50" applyFont="1" applyBorder="1" applyAlignment="1">
      <alignment horizontal="center" vertical="center" wrapText="1"/>
    </xf>
    <xf numFmtId="0" fontId="16" fillId="0" borderId="1" xfId="50" applyFont="1" applyBorder="1" applyAlignment="1">
      <alignment horizontal="center" vertical="center" wrapText="1"/>
    </xf>
    <xf numFmtId="0" fontId="10" fillId="0" borderId="0" xfId="50" applyFont="1">
      <alignment vertical="center"/>
    </xf>
    <xf numFmtId="0" fontId="16" fillId="0" borderId="4" xfId="50" applyFont="1" applyBorder="1" applyAlignment="1">
      <alignment horizontal="center" vertical="center"/>
    </xf>
    <xf numFmtId="0" fontId="10" fillId="0" borderId="1" xfId="50" applyFont="1" applyBorder="1" applyAlignment="1">
      <alignment horizontal="center" vertical="center" wrapText="1"/>
    </xf>
    <xf numFmtId="0" fontId="10" fillId="0" borderId="2" xfId="50" applyFont="1" applyBorder="1" applyAlignment="1">
      <alignment horizontal="center" vertical="center"/>
    </xf>
    <xf numFmtId="0" fontId="10" fillId="0" borderId="4" xfId="50" applyFont="1" applyBorder="1" applyAlignment="1">
      <alignment horizontal="center" vertical="center"/>
    </xf>
    <xf numFmtId="0" fontId="10" fillId="0" borderId="1" xfId="50" applyFont="1" applyBorder="1" applyAlignment="1">
      <alignment vertical="center" wrapText="1"/>
    </xf>
    <xf numFmtId="0" fontId="10" fillId="0" borderId="2" xfId="50" applyFont="1" applyBorder="1" applyAlignment="1">
      <alignment horizontal="center" vertical="center" wrapText="1"/>
    </xf>
    <xf numFmtId="0" fontId="10" fillId="0" borderId="4" xfId="50" applyFont="1" applyBorder="1" applyAlignment="1">
      <alignment horizontal="center" vertical="center" wrapText="1"/>
    </xf>
    <xf numFmtId="0" fontId="10" fillId="0" borderId="1" xfId="50" applyFont="1" applyBorder="1">
      <alignment vertical="center"/>
    </xf>
    <xf numFmtId="0" fontId="2" fillId="0" borderId="0" xfId="0" applyFont="1" applyAlignment="1">
      <alignment vertical="center" wrapText="1"/>
    </xf>
    <xf numFmtId="0" fontId="17" fillId="0" borderId="0" xfId="0" applyFo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20" fillId="0" borderId="0" xfId="0" applyFont="1">
      <alignment vertical="center"/>
    </xf>
    <xf numFmtId="0" fontId="21" fillId="0" borderId="0" xfId="0" applyFont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top" wrapText="1"/>
    </xf>
    <xf numFmtId="0" fontId="15" fillId="0" borderId="8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horizontal="right" vertical="center"/>
    </xf>
    <xf numFmtId="0" fontId="22" fillId="2" borderId="3" xfId="0" applyFont="1" applyFill="1" applyBorder="1" applyAlignment="1">
      <alignment horizontal="center" vertical="center" shrinkToFit="1"/>
    </xf>
    <xf numFmtId="0" fontId="23" fillId="2" borderId="3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 shrinkToFit="1"/>
    </xf>
    <xf numFmtId="0" fontId="24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5" fillId="0" borderId="1" xfId="49" applyFont="1" applyBorder="1" applyAlignment="1">
      <alignment horizontal="center" vertical="center" wrapText="1"/>
    </xf>
    <xf numFmtId="0" fontId="26" fillId="0" borderId="1" xfId="49" applyFont="1" applyBorder="1" applyAlignment="1" applyProtection="1">
      <alignment horizontal="center" vertical="center" wrapText="1" shrinkToFit="1"/>
      <protection locked="0"/>
    </xf>
    <xf numFmtId="0" fontId="26" fillId="0" borderId="2" xfId="49" applyFont="1" applyBorder="1" applyAlignment="1">
      <alignment horizontal="center" vertical="center" shrinkToFit="1"/>
    </xf>
    <xf numFmtId="0" fontId="26" fillId="0" borderId="3" xfId="49" applyFont="1" applyBorder="1" applyAlignment="1">
      <alignment horizontal="center" vertical="center" shrinkToFit="1"/>
    </xf>
    <xf numFmtId="0" fontId="26" fillId="0" borderId="4" xfId="49" applyFont="1" applyBorder="1" applyAlignment="1">
      <alignment horizontal="center" vertical="center" shrinkToFit="1"/>
    </xf>
    <xf numFmtId="0" fontId="25" fillId="0" borderId="2" xfId="49" applyFont="1" applyBorder="1" applyAlignment="1">
      <alignment horizontal="center" vertical="center" wrapText="1"/>
    </xf>
    <xf numFmtId="0" fontId="25" fillId="0" borderId="3" xfId="49" applyFont="1" applyBorder="1" applyAlignment="1">
      <alignment horizontal="center" vertical="center" wrapText="1"/>
    </xf>
    <xf numFmtId="0" fontId="25" fillId="0" borderId="4" xfId="49" applyFont="1" applyBorder="1" applyAlignment="1">
      <alignment horizontal="center" vertical="center" wrapText="1"/>
    </xf>
    <xf numFmtId="0" fontId="26" fillId="0" borderId="1" xfId="49" applyFont="1" applyBorder="1" applyAlignment="1">
      <alignment horizontal="center" vertical="center" shrinkToFit="1"/>
    </xf>
    <xf numFmtId="0" fontId="27" fillId="0" borderId="1" xfId="49" applyFont="1" applyBorder="1" applyAlignment="1">
      <alignment horizontal="center" vertical="center" wrapText="1"/>
    </xf>
    <xf numFmtId="0" fontId="28" fillId="0" borderId="2" xfId="49" applyFont="1" applyBorder="1" applyAlignment="1">
      <alignment horizontal="center" vertical="center" wrapText="1"/>
    </xf>
    <xf numFmtId="0" fontId="28" fillId="0" borderId="3" xfId="49" applyFont="1" applyBorder="1" applyAlignment="1">
      <alignment horizontal="center" vertical="center" wrapText="1"/>
    </xf>
    <xf numFmtId="0" fontId="28" fillId="0" borderId="4" xfId="49" applyFont="1" applyBorder="1" applyAlignment="1">
      <alignment horizontal="center" vertical="center" wrapText="1"/>
    </xf>
    <xf numFmtId="0" fontId="16" fillId="0" borderId="2" xfId="49" applyFont="1" applyBorder="1" applyAlignment="1">
      <alignment horizontal="center" vertical="center"/>
    </xf>
    <xf numFmtId="0" fontId="16" fillId="0" borderId="3" xfId="49" applyFont="1" applyBorder="1" applyAlignment="1">
      <alignment horizontal="center" vertical="center"/>
    </xf>
    <xf numFmtId="0" fontId="16" fillId="0" borderId="4" xfId="49" applyFont="1" applyBorder="1" applyAlignment="1">
      <alignment horizontal="center" vertical="center"/>
    </xf>
    <xf numFmtId="0" fontId="26" fillId="0" borderId="1" xfId="49" applyFont="1" applyBorder="1" applyAlignment="1">
      <alignment vertical="center" shrinkToFit="1"/>
    </xf>
    <xf numFmtId="0" fontId="10" fillId="0" borderId="2" xfId="49" applyFont="1" applyBorder="1" applyAlignment="1">
      <alignment horizontal="center" vertical="center"/>
    </xf>
    <xf numFmtId="0" fontId="10" fillId="0" borderId="3" xfId="49" applyFont="1" applyBorder="1" applyAlignment="1">
      <alignment horizontal="center" vertical="center"/>
    </xf>
    <xf numFmtId="0" fontId="10" fillId="0" borderId="4" xfId="49" applyFont="1" applyBorder="1" applyAlignment="1">
      <alignment horizontal="center" vertical="center"/>
    </xf>
    <xf numFmtId="0" fontId="25" fillId="0" borderId="1" xfId="49" applyFont="1" applyBorder="1" applyAlignment="1">
      <alignment horizontal="center" vertical="center"/>
    </xf>
    <xf numFmtId="49" fontId="26" fillId="0" borderId="1" xfId="49" applyNumberFormat="1" applyFont="1" applyBorder="1" applyAlignment="1">
      <alignment horizontal="center" vertical="center" shrinkToFit="1"/>
    </xf>
    <xf numFmtId="49" fontId="26" fillId="0" borderId="2" xfId="49" applyNumberFormat="1" applyFont="1" applyBorder="1" applyAlignment="1">
      <alignment horizontal="center" vertical="center" shrinkToFit="1"/>
    </xf>
    <xf numFmtId="49" fontId="26" fillId="0" borderId="3" xfId="49" applyNumberFormat="1" applyFont="1" applyBorder="1" applyAlignment="1">
      <alignment horizontal="center" vertical="center" shrinkToFit="1"/>
    </xf>
    <xf numFmtId="49" fontId="26" fillId="0" borderId="4" xfId="49" applyNumberFormat="1" applyFont="1" applyBorder="1" applyAlignment="1">
      <alignment horizontal="center" vertical="center" shrinkToFit="1"/>
    </xf>
    <xf numFmtId="0" fontId="26" fillId="0" borderId="1" xfId="49" applyFont="1" applyBorder="1" applyAlignment="1">
      <alignment horizontal="center" vertical="center" wrapText="1"/>
    </xf>
    <xf numFmtId="0" fontId="16" fillId="0" borderId="1" xfId="49" applyFont="1" applyBorder="1" applyAlignment="1">
      <alignment horizontal="center" vertical="center" shrinkToFit="1"/>
    </xf>
    <xf numFmtId="0" fontId="16" fillId="0" borderId="2" xfId="49" applyFont="1" applyBorder="1" applyAlignment="1">
      <alignment horizontal="center" vertical="center" shrinkToFit="1"/>
    </xf>
    <xf numFmtId="0" fontId="16" fillId="0" borderId="3" xfId="49" applyFont="1" applyBorder="1" applyAlignment="1">
      <alignment horizontal="center" vertical="center" shrinkToFit="1"/>
    </xf>
    <xf numFmtId="0" fontId="16" fillId="0" borderId="4" xfId="49" applyFont="1" applyBorder="1" applyAlignment="1">
      <alignment horizontal="center" vertical="center" shrinkToFit="1"/>
    </xf>
    <xf numFmtId="0" fontId="26" fillId="0" borderId="2" xfId="49" applyFont="1" applyBorder="1" applyAlignment="1">
      <alignment horizontal="center" vertical="center" wrapText="1"/>
    </xf>
    <xf numFmtId="0" fontId="26" fillId="0" borderId="3" xfId="49" applyFont="1" applyBorder="1" applyAlignment="1">
      <alignment horizontal="center" vertical="center" wrapText="1"/>
    </xf>
    <xf numFmtId="0" fontId="16" fillId="2" borderId="2" xfId="49" applyFont="1" applyFill="1" applyBorder="1" applyAlignment="1">
      <alignment vertical="center" shrinkToFit="1"/>
    </xf>
    <xf numFmtId="0" fontId="26" fillId="2" borderId="3" xfId="49" applyFont="1" applyFill="1" applyBorder="1" applyAlignment="1">
      <alignment horizontal="center" vertical="center" shrinkToFit="1"/>
    </xf>
    <xf numFmtId="0" fontId="16" fillId="2" borderId="3" xfId="49" applyFont="1" applyFill="1" applyBorder="1" applyAlignment="1">
      <alignment horizontal="left" vertical="center" shrinkToFit="1"/>
    </xf>
    <xf numFmtId="0" fontId="16" fillId="2" borderId="4" xfId="49" applyFont="1" applyFill="1" applyBorder="1" applyAlignment="1">
      <alignment horizontal="left" vertical="center" shrinkToFit="1"/>
    </xf>
    <xf numFmtId="0" fontId="26" fillId="0" borderId="4" xfId="49" applyFont="1" applyBorder="1" applyAlignment="1">
      <alignment horizontal="center" vertical="center" wrapText="1"/>
    </xf>
    <xf numFmtId="0" fontId="29" fillId="0" borderId="1" xfId="49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0" fontId="26" fillId="0" borderId="5" xfId="49" applyFont="1" applyBorder="1" applyAlignment="1">
      <alignment horizontal="center" vertical="center" wrapText="1"/>
    </xf>
    <xf numFmtId="0" fontId="16" fillId="2" borderId="12" xfId="49" applyFont="1" applyFill="1" applyBorder="1" applyAlignment="1">
      <alignment horizontal="center" vertical="center" shrinkToFit="1"/>
    </xf>
    <xf numFmtId="0" fontId="26" fillId="0" borderId="0" xfId="49" applyFont="1" applyAlignment="1">
      <alignment horizontal="center" vertical="center" wrapText="1"/>
    </xf>
    <xf numFmtId="0" fontId="16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 wrapText="1"/>
    </xf>
    <xf numFmtId="0" fontId="26" fillId="0" borderId="11" xfId="49" applyFont="1" applyBorder="1" applyAlignment="1">
      <alignment horizontal="center" vertical="center" shrinkToFit="1"/>
    </xf>
    <xf numFmtId="0" fontId="10" fillId="0" borderId="9" xfId="49" applyFont="1" applyBorder="1" applyAlignment="1">
      <alignment horizontal="center" vertical="center" shrinkToFit="1"/>
    </xf>
    <xf numFmtId="0" fontId="10" fillId="0" borderId="10" xfId="49" applyFont="1" applyBorder="1" applyAlignment="1">
      <alignment horizontal="center" vertical="center" shrinkToFit="1"/>
    </xf>
    <xf numFmtId="0" fontId="10" fillId="0" borderId="11" xfId="49" applyFont="1" applyBorder="1" applyAlignment="1">
      <alignment horizontal="center" vertical="center" shrinkToFit="1"/>
    </xf>
    <xf numFmtId="0" fontId="20" fillId="0" borderId="0" xfId="0" applyFont="1" applyAlignment="1">
      <alignment vertical="center" wrapText="1"/>
    </xf>
    <xf numFmtId="0" fontId="10" fillId="0" borderId="1" xfId="49" applyFont="1" applyBorder="1" applyAlignment="1">
      <alignment horizontal="center" vertical="center"/>
    </xf>
    <xf numFmtId="0" fontId="26" fillId="0" borderId="8" xfId="49" applyFont="1" applyBorder="1" applyAlignment="1">
      <alignment horizontal="center" vertical="center" wrapText="1"/>
    </xf>
    <xf numFmtId="0" fontId="26" fillId="0" borderId="13" xfId="49" applyFont="1" applyBorder="1" applyAlignment="1">
      <alignment horizontal="center" vertical="center" wrapText="1"/>
    </xf>
    <xf numFmtId="0" fontId="26" fillId="0" borderId="7" xfId="49" applyFont="1" applyBorder="1" applyAlignment="1">
      <alignment horizontal="center" vertical="center" wrapText="1"/>
    </xf>
    <xf numFmtId="0" fontId="26" fillId="0" borderId="6" xfId="49" applyFont="1" applyBorder="1" applyAlignment="1">
      <alignment horizontal="center" vertical="center" wrapText="1"/>
    </xf>
    <xf numFmtId="0" fontId="26" fillId="2" borderId="13" xfId="49" applyFont="1" applyFill="1" applyBorder="1" applyAlignment="1">
      <alignment horizontal="center" vertical="center"/>
    </xf>
    <xf numFmtId="0" fontId="26" fillId="2" borderId="7" xfId="49" applyFont="1" applyFill="1" applyBorder="1" applyAlignment="1">
      <alignment horizontal="center" vertical="center"/>
    </xf>
    <xf numFmtId="0" fontId="26" fillId="2" borderId="6" xfId="49" applyFont="1" applyFill="1" applyBorder="1" applyAlignment="1">
      <alignment horizontal="center" vertical="center"/>
    </xf>
    <xf numFmtId="0" fontId="25" fillId="0" borderId="6" xfId="49" applyFont="1" applyBorder="1" applyAlignment="1">
      <alignment horizontal="center" vertical="center"/>
    </xf>
    <xf numFmtId="0" fontId="25" fillId="0" borderId="7" xfId="49" applyFont="1" applyBorder="1" applyAlignment="1">
      <alignment horizontal="center" vertical="center"/>
    </xf>
    <xf numFmtId="0" fontId="26" fillId="2" borderId="9" xfId="49" applyFont="1" applyFill="1" applyBorder="1" applyAlignment="1">
      <alignment horizontal="center" vertical="center"/>
    </xf>
    <xf numFmtId="0" fontId="26" fillId="2" borderId="11" xfId="49" applyFont="1" applyFill="1" applyBorder="1" applyAlignment="1">
      <alignment horizontal="center" vertical="center"/>
    </xf>
    <xf numFmtId="0" fontId="26" fillId="2" borderId="10" xfId="49" applyFont="1" applyFill="1" applyBorder="1" applyAlignment="1">
      <alignment horizontal="center" vertical="center"/>
    </xf>
    <xf numFmtId="0" fontId="25" fillId="0" borderId="10" xfId="49" applyFont="1" applyBorder="1" applyAlignment="1">
      <alignment horizontal="center" vertical="center"/>
    </xf>
    <xf numFmtId="0" fontId="25" fillId="0" borderId="11" xfId="49" applyFont="1" applyBorder="1" applyAlignment="1">
      <alignment horizontal="center" vertical="center"/>
    </xf>
    <xf numFmtId="0" fontId="26" fillId="2" borderId="0" xfId="49" applyFont="1" applyFill="1" applyAlignment="1">
      <alignment horizontal="center" vertical="center"/>
    </xf>
    <xf numFmtId="0" fontId="25" fillId="0" borderId="0" xfId="49" applyFont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left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53534</xdr:colOff>
      <xdr:row>0</xdr:row>
      <xdr:rowOff>36399</xdr:rowOff>
    </xdr:from>
    <xdr:ext cx="890516" cy="552042"/>
    <xdr:pic>
      <xdr:nvPicPr>
        <xdr:cNvPr id="2" name="图形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" y="36195"/>
          <a:ext cx="890270" cy="551815"/>
        </a:xfrm>
        <a:prstGeom prst="rect">
          <a:avLst/>
        </a:prstGeom>
      </xdr:spPr>
    </xdr:pic>
    <xdr:clientData/>
  </xdr:oneCellAnchor>
  <xdr:oneCellAnchor>
    <xdr:from>
      <xdr:col>1</xdr:col>
      <xdr:colOff>53534</xdr:colOff>
      <xdr:row>27</xdr:row>
      <xdr:rowOff>36399</xdr:rowOff>
    </xdr:from>
    <xdr:ext cx="890516" cy="552042"/>
    <xdr:pic>
      <xdr:nvPicPr>
        <xdr:cNvPr id="3" name="图形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" y="6553200"/>
          <a:ext cx="890270" cy="55181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334838</xdr:colOff>
      <xdr:row>0</xdr:row>
      <xdr:rowOff>28790</xdr:rowOff>
    </xdr:from>
    <xdr:ext cx="941495" cy="583645"/>
    <xdr:pic>
      <xdr:nvPicPr>
        <xdr:cNvPr id="2" name="图形 3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645" y="28575"/>
          <a:ext cx="941070" cy="583565"/>
        </a:xfrm>
        <a:prstGeom prst="rect">
          <a:avLst/>
        </a:prstGeom>
      </xdr:spPr>
    </xdr:pic>
    <xdr:clientData/>
  </xdr:oneCellAnchor>
  <xdr:twoCellAnchor editAs="oneCell">
    <xdr:from>
      <xdr:col>2</xdr:col>
      <xdr:colOff>333375</xdr:colOff>
      <xdr:row>4</xdr:row>
      <xdr:rowOff>15875</xdr:rowOff>
    </xdr:from>
    <xdr:to>
      <xdr:col>8</xdr:col>
      <xdr:colOff>1311573</xdr:colOff>
      <xdr:row>4</xdr:row>
      <xdr:rowOff>3714750</xdr:rowOff>
    </xdr:to>
    <xdr:pic>
      <xdr:nvPicPr>
        <xdr:cNvPr id="3" name="图片 2"/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0265" y="1381125"/>
          <a:ext cx="7266940" cy="3698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334838</xdr:colOff>
      <xdr:row>0</xdr:row>
      <xdr:rowOff>28790</xdr:rowOff>
    </xdr:from>
    <xdr:ext cx="941495" cy="583645"/>
    <xdr:pic>
      <xdr:nvPicPr>
        <xdr:cNvPr id="2" name="图形 3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645" y="28575"/>
          <a:ext cx="941070" cy="583565"/>
        </a:xfrm>
        <a:prstGeom prst="rect">
          <a:avLst/>
        </a:prstGeom>
      </xdr:spPr>
    </xdr:pic>
    <xdr:clientData/>
  </xdr:oneCellAnchor>
  <xdr:twoCellAnchor editAs="oneCell">
    <xdr:from>
      <xdr:col>3</xdr:col>
      <xdr:colOff>793750</xdr:colOff>
      <xdr:row>4</xdr:row>
      <xdr:rowOff>127000</xdr:rowOff>
    </xdr:from>
    <xdr:to>
      <xdr:col>7</xdr:col>
      <xdr:colOff>431800</xdr:colOff>
      <xdr:row>4</xdr:row>
      <xdr:rowOff>3546475</xdr:rowOff>
    </xdr:to>
    <xdr:pic>
      <xdr:nvPicPr>
        <xdr:cNvPr id="4" name="图片 3"/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74085" y="1492250"/>
          <a:ext cx="4216400" cy="3419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334838</xdr:colOff>
      <xdr:row>0</xdr:row>
      <xdr:rowOff>28790</xdr:rowOff>
    </xdr:from>
    <xdr:ext cx="941495" cy="583645"/>
    <xdr:pic>
      <xdr:nvPicPr>
        <xdr:cNvPr id="2" name="图形 3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645" y="28575"/>
          <a:ext cx="941070" cy="583565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408997</xdr:colOff>
      <xdr:row>0</xdr:row>
      <xdr:rowOff>52904</xdr:rowOff>
    </xdr:from>
    <xdr:ext cx="870471" cy="539616"/>
    <xdr:pic>
      <xdr:nvPicPr>
        <xdr:cNvPr id="2" name="图形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8940" y="52705"/>
          <a:ext cx="869950" cy="5397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7"/>
  <sheetViews>
    <sheetView view="pageBreakPreview" zoomScaleNormal="100" topLeftCell="A24" workbookViewId="0">
      <selection activeCell="P30" sqref="P30:T30"/>
    </sheetView>
  </sheetViews>
  <sheetFormatPr defaultColWidth="9" defaultRowHeight="13.5"/>
  <cols>
    <col min="1" max="1" width="5" customWidth="1"/>
    <col min="2" max="2" width="8" customWidth="1"/>
    <col min="3" max="3" width="13.0916666666667" customWidth="1"/>
    <col min="4" max="4" width="11.725" customWidth="1"/>
    <col min="5" max="5" width="5.45" customWidth="1"/>
    <col min="6" max="6" width="3.45" customWidth="1"/>
    <col min="7" max="7" width="4.63333333333333" customWidth="1"/>
    <col min="8" max="8" width="4.26666666666667" customWidth="1"/>
    <col min="9" max="9" width="3.45" customWidth="1"/>
    <col min="10" max="10" width="2.45" customWidth="1"/>
    <col min="11" max="11" width="11.725" customWidth="1"/>
    <col min="12" max="12" width="11.3666666666667" customWidth="1"/>
    <col min="13" max="13" width="14.0916666666667" customWidth="1"/>
    <col min="14" max="14" width="2.725" customWidth="1"/>
    <col min="15" max="15" width="13" customWidth="1"/>
    <col min="16" max="16" width="0.908333333333333" customWidth="1"/>
    <col min="17" max="17" width="5.09166666666667" customWidth="1"/>
    <col min="18" max="18" width="0.908333333333333" customWidth="1"/>
    <col min="19" max="19" width="8.36666666666667" customWidth="1"/>
    <col min="20" max="20" width="14.45" customWidth="1"/>
    <col min="22" max="25" width="9" hidden="1" customWidth="1"/>
    <col min="26" max="26" width="58.725" hidden="1" customWidth="1"/>
    <col min="27" max="29" width="9" hidden="1" customWidth="1"/>
  </cols>
  <sheetData>
    <row r="1" ht="25" customHeight="1" spans="1:20">
      <c r="A1" s="2"/>
      <c r="B1" s="57"/>
      <c r="C1" s="58"/>
      <c r="D1" s="3" t="s">
        <v>0</v>
      </c>
      <c r="E1" s="3"/>
      <c r="F1" s="3"/>
      <c r="G1" s="3"/>
      <c r="H1" s="3"/>
      <c r="I1" s="3"/>
      <c r="J1" s="3"/>
      <c r="K1" s="3"/>
      <c r="L1" s="3"/>
      <c r="M1" s="59" t="s">
        <v>1</v>
      </c>
      <c r="N1" s="60"/>
      <c r="O1" s="60"/>
      <c r="P1" s="60"/>
      <c r="Q1" s="60"/>
      <c r="R1" s="59" t="s">
        <v>2</v>
      </c>
      <c r="S1" s="59"/>
      <c r="T1" s="59"/>
    </row>
    <row r="2" ht="25" customHeight="1" spans="1:20">
      <c r="A2" s="61"/>
      <c r="B2" s="62"/>
      <c r="C2" s="63"/>
      <c r="D2" s="3"/>
      <c r="E2" s="3"/>
      <c r="F2" s="3"/>
      <c r="G2" s="3"/>
      <c r="H2" s="3"/>
      <c r="I2" s="3"/>
      <c r="J2" s="3"/>
      <c r="K2" s="3"/>
      <c r="L2" s="3"/>
      <c r="M2" s="64" t="s">
        <v>3</v>
      </c>
      <c r="N2" s="65" t="s">
        <v>4</v>
      </c>
      <c r="O2" s="65"/>
      <c r="P2" s="66" t="s">
        <v>5</v>
      </c>
      <c r="Q2" s="67" t="s">
        <v>6</v>
      </c>
      <c r="R2" s="68"/>
      <c r="S2" s="69"/>
      <c r="T2" s="69"/>
    </row>
    <row r="3" s="55" customFormat="1" ht="21" customHeight="1" spans="1:20">
      <c r="A3" s="70" t="s">
        <v>7</v>
      </c>
      <c r="B3" s="70"/>
      <c r="C3" s="71" t="s">
        <v>8</v>
      </c>
      <c r="D3" s="70" t="s">
        <v>9</v>
      </c>
      <c r="E3" s="72" t="s">
        <v>10</v>
      </c>
      <c r="F3" s="73"/>
      <c r="G3" s="73"/>
      <c r="H3" s="74"/>
      <c r="I3" s="75" t="s">
        <v>11</v>
      </c>
      <c r="J3" s="76"/>
      <c r="K3" s="77"/>
      <c r="L3" s="78" t="s">
        <v>12</v>
      </c>
      <c r="M3" s="79" t="s">
        <v>13</v>
      </c>
      <c r="N3" s="72" t="s">
        <v>14</v>
      </c>
      <c r="O3" s="73"/>
      <c r="P3" s="73"/>
      <c r="Q3" s="74"/>
      <c r="R3" s="80" t="s">
        <v>15</v>
      </c>
      <c r="S3" s="81"/>
      <c r="T3" s="82"/>
    </row>
    <row r="4" s="55" customFormat="1" ht="26.25" customHeight="1" spans="1:20">
      <c r="A4" s="70" t="s">
        <v>16</v>
      </c>
      <c r="B4" s="70"/>
      <c r="C4" s="78" t="s">
        <v>4</v>
      </c>
      <c r="D4" s="70" t="s">
        <v>17</v>
      </c>
      <c r="E4" s="72" t="s">
        <v>18</v>
      </c>
      <c r="F4" s="73"/>
      <c r="G4" s="73"/>
      <c r="H4" s="74"/>
      <c r="I4" s="75" t="s">
        <v>19</v>
      </c>
      <c r="J4" s="76"/>
      <c r="K4" s="77"/>
      <c r="L4" s="78" t="s">
        <v>20</v>
      </c>
      <c r="M4" s="70" t="s">
        <v>21</v>
      </c>
      <c r="N4" s="72" t="str">
        <f>IF(N3="否","N/A","")</f>
        <v>N/A</v>
      </c>
      <c r="O4" s="73"/>
      <c r="P4" s="73"/>
      <c r="Q4" s="74"/>
      <c r="R4" s="80"/>
      <c r="S4" s="81"/>
      <c r="T4" s="82"/>
    </row>
    <row r="5" s="55" customFormat="1" ht="15" spans="1:20">
      <c r="A5" s="83" t="s">
        <v>22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5"/>
    </row>
    <row r="6" s="55" customFormat="1" ht="21" spans="1:20">
      <c r="A6" s="70" t="s">
        <v>23</v>
      </c>
      <c r="B6" s="70"/>
      <c r="C6" s="70" t="s">
        <v>24</v>
      </c>
      <c r="D6" s="70" t="s">
        <v>25</v>
      </c>
      <c r="E6" s="70"/>
      <c r="F6" s="70" t="s">
        <v>26</v>
      </c>
      <c r="G6" s="70"/>
      <c r="H6" s="70"/>
      <c r="I6" s="70"/>
      <c r="J6" s="70"/>
      <c r="K6" s="70"/>
      <c r="L6" s="70" t="s">
        <v>27</v>
      </c>
      <c r="M6" s="70" t="s">
        <v>28</v>
      </c>
      <c r="N6" s="70" t="s">
        <v>29</v>
      </c>
      <c r="O6" s="70"/>
      <c r="P6" s="70"/>
      <c r="Q6" s="70"/>
      <c r="R6" s="70" t="s">
        <v>30</v>
      </c>
      <c r="S6" s="70"/>
      <c r="T6" s="70" t="s">
        <v>31</v>
      </c>
    </row>
    <row r="7" s="55" customFormat="1" ht="21" customHeight="1" spans="1:20">
      <c r="A7" s="72"/>
      <c r="B7" s="74"/>
      <c r="C7" s="78"/>
      <c r="D7" s="72"/>
      <c r="E7" s="74"/>
      <c r="F7" s="72"/>
      <c r="G7" s="73"/>
      <c r="H7" s="73"/>
      <c r="I7" s="73"/>
      <c r="J7" s="73"/>
      <c r="K7" s="74"/>
      <c r="L7" s="86"/>
      <c r="M7" s="86"/>
      <c r="N7" s="72"/>
      <c r="O7" s="73"/>
      <c r="P7" s="73"/>
      <c r="Q7" s="74"/>
      <c r="R7" s="72"/>
      <c r="S7" s="74"/>
      <c r="T7" s="78"/>
    </row>
    <row r="8" s="55" customFormat="1" ht="21" customHeight="1" spans="1:20">
      <c r="A8" s="72"/>
      <c r="B8" s="74"/>
      <c r="C8" s="78"/>
      <c r="D8" s="72"/>
      <c r="E8" s="74"/>
      <c r="F8" s="72"/>
      <c r="G8" s="73"/>
      <c r="H8" s="73"/>
      <c r="I8" s="73"/>
      <c r="J8" s="73"/>
      <c r="K8" s="74"/>
      <c r="L8" s="86"/>
      <c r="M8" s="86"/>
      <c r="N8" s="72"/>
      <c r="O8" s="73"/>
      <c r="P8" s="73"/>
      <c r="Q8" s="74"/>
      <c r="R8" s="72"/>
      <c r="S8" s="74"/>
      <c r="T8" s="78"/>
    </row>
    <row r="9" s="55" customFormat="1" ht="21" customHeight="1" spans="1:20">
      <c r="A9" s="72"/>
      <c r="B9" s="74"/>
      <c r="C9" s="78"/>
      <c r="D9" s="72"/>
      <c r="E9" s="74"/>
      <c r="F9" s="72"/>
      <c r="G9" s="73"/>
      <c r="H9" s="73"/>
      <c r="I9" s="73"/>
      <c r="J9" s="73"/>
      <c r="K9" s="74"/>
      <c r="L9" s="86"/>
      <c r="M9" s="86"/>
      <c r="N9" s="72"/>
      <c r="O9" s="73"/>
      <c r="P9" s="73"/>
      <c r="Q9" s="74"/>
      <c r="R9" s="72"/>
      <c r="S9" s="74"/>
      <c r="T9" s="78"/>
    </row>
    <row r="10" s="55" customFormat="1" ht="15" spans="1:20">
      <c r="A10" s="87" t="s">
        <v>32</v>
      </c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9"/>
    </row>
    <row r="11" s="55" customFormat="1" ht="21" spans="1:20">
      <c r="A11" s="70" t="s">
        <v>33</v>
      </c>
      <c r="B11" s="70"/>
      <c r="C11" s="70" t="s">
        <v>34</v>
      </c>
      <c r="D11" s="90"/>
      <c r="E11" s="90"/>
      <c r="F11" s="90"/>
      <c r="G11" s="90"/>
      <c r="H11" s="90"/>
      <c r="I11" s="90"/>
      <c r="J11" s="90"/>
      <c r="K11" s="70" t="s">
        <v>35</v>
      </c>
      <c r="L11" s="90"/>
      <c r="M11" s="70" t="s">
        <v>36</v>
      </c>
      <c r="N11" s="75" t="s">
        <v>37</v>
      </c>
      <c r="O11" s="76"/>
      <c r="P11" s="76"/>
      <c r="Q11" s="77"/>
      <c r="R11" s="75" t="s">
        <v>38</v>
      </c>
      <c r="S11" s="76"/>
      <c r="T11" s="77"/>
    </row>
    <row r="12" s="55" customFormat="1" ht="15" customHeight="1" spans="1:20">
      <c r="A12" s="72">
        <v>1</v>
      </c>
      <c r="B12" s="74"/>
      <c r="C12" s="72" t="s">
        <v>39</v>
      </c>
      <c r="D12" s="73"/>
      <c r="E12" s="73"/>
      <c r="F12" s="73"/>
      <c r="G12" s="73"/>
      <c r="H12" s="73"/>
      <c r="I12" s="73"/>
      <c r="J12" s="74"/>
      <c r="K12" s="72" t="s">
        <v>40</v>
      </c>
      <c r="L12" s="74"/>
      <c r="M12" s="91" t="s">
        <v>41</v>
      </c>
      <c r="N12" s="92" t="s">
        <v>20</v>
      </c>
      <c r="O12" s="93"/>
      <c r="P12" s="93"/>
      <c r="Q12" s="94"/>
      <c r="R12" s="72" t="s">
        <v>5</v>
      </c>
      <c r="S12" s="73"/>
      <c r="T12" s="74"/>
    </row>
    <row r="13" s="55" customFormat="1" ht="15" customHeight="1" spans="1:20">
      <c r="A13" s="72">
        <v>2</v>
      </c>
      <c r="B13" s="74"/>
      <c r="C13" s="72" t="s">
        <v>39</v>
      </c>
      <c r="D13" s="73"/>
      <c r="E13" s="73"/>
      <c r="F13" s="73"/>
      <c r="G13" s="73"/>
      <c r="H13" s="73"/>
      <c r="I13" s="73"/>
      <c r="J13" s="74"/>
      <c r="K13" s="72" t="s">
        <v>42</v>
      </c>
      <c r="L13" s="74"/>
      <c r="M13" s="91" t="s">
        <v>43</v>
      </c>
      <c r="N13" s="92" t="s">
        <v>20</v>
      </c>
      <c r="O13" s="93"/>
      <c r="P13" s="93"/>
      <c r="Q13" s="94"/>
      <c r="R13" s="72" t="s">
        <v>5</v>
      </c>
      <c r="S13" s="73"/>
      <c r="T13" s="74"/>
    </row>
    <row r="14" s="55" customFormat="1" ht="15" customHeight="1" spans="1:20">
      <c r="A14" s="72">
        <v>3</v>
      </c>
      <c r="B14" s="74"/>
      <c r="C14" s="72" t="s">
        <v>44</v>
      </c>
      <c r="D14" s="73"/>
      <c r="E14" s="73"/>
      <c r="F14" s="73"/>
      <c r="G14" s="73"/>
      <c r="H14" s="73"/>
      <c r="I14" s="73"/>
      <c r="J14" s="74"/>
      <c r="K14" s="72" t="s">
        <v>45</v>
      </c>
      <c r="L14" s="74"/>
      <c r="M14" s="91" t="s">
        <v>41</v>
      </c>
      <c r="N14" s="92" t="s">
        <v>46</v>
      </c>
      <c r="O14" s="93"/>
      <c r="P14" s="93"/>
      <c r="Q14" s="94"/>
      <c r="R14" s="72" t="s">
        <v>5</v>
      </c>
      <c r="S14" s="73"/>
      <c r="T14" s="74"/>
    </row>
    <row r="15" s="55" customFormat="1" ht="15" customHeight="1" spans="1:20">
      <c r="A15" s="72">
        <v>4</v>
      </c>
      <c r="B15" s="74"/>
      <c r="C15" s="72" t="s">
        <v>47</v>
      </c>
      <c r="D15" s="73"/>
      <c r="E15" s="73"/>
      <c r="F15" s="73"/>
      <c r="G15" s="73"/>
      <c r="H15" s="73"/>
      <c r="I15" s="73"/>
      <c r="J15" s="74"/>
      <c r="K15" s="72" t="s">
        <v>48</v>
      </c>
      <c r="L15" s="74"/>
      <c r="M15" s="91" t="s">
        <v>41</v>
      </c>
      <c r="N15" s="92" t="s">
        <v>49</v>
      </c>
      <c r="O15" s="93"/>
      <c r="P15" s="93"/>
      <c r="Q15" s="94"/>
      <c r="R15" s="72" t="s">
        <v>5</v>
      </c>
      <c r="S15" s="73"/>
      <c r="T15" s="74"/>
    </row>
    <row r="16" s="55" customFormat="1" ht="15" customHeight="1" spans="1:20">
      <c r="A16" s="72">
        <v>5</v>
      </c>
      <c r="B16" s="74"/>
      <c r="C16" s="72" t="s">
        <v>50</v>
      </c>
      <c r="D16" s="73"/>
      <c r="E16" s="73"/>
      <c r="F16" s="73"/>
      <c r="G16" s="73"/>
      <c r="H16" s="73"/>
      <c r="I16" s="73"/>
      <c r="J16" s="74"/>
      <c r="K16" s="72" t="s">
        <v>48</v>
      </c>
      <c r="L16" s="74"/>
      <c r="M16" s="91" t="s">
        <v>41</v>
      </c>
      <c r="N16" s="92" t="s">
        <v>49</v>
      </c>
      <c r="O16" s="93"/>
      <c r="P16" s="93"/>
      <c r="Q16" s="94"/>
      <c r="R16" s="72" t="s">
        <v>5</v>
      </c>
      <c r="S16" s="73"/>
      <c r="T16" s="74"/>
    </row>
    <row r="17" s="55" customFormat="1" ht="15" customHeight="1" spans="1:26">
      <c r="A17" s="72"/>
      <c r="B17" s="74"/>
      <c r="C17" s="72"/>
      <c r="D17" s="73"/>
      <c r="E17" s="73"/>
      <c r="F17" s="73"/>
      <c r="G17" s="73"/>
      <c r="H17" s="73"/>
      <c r="I17" s="73"/>
      <c r="J17" s="74"/>
      <c r="K17" s="72"/>
      <c r="L17" s="74"/>
      <c r="M17" s="91"/>
      <c r="N17" s="92"/>
      <c r="O17" s="93"/>
      <c r="P17" s="93"/>
      <c r="Q17" s="94"/>
      <c r="R17" s="72"/>
      <c r="S17" s="73"/>
      <c r="T17" s="74"/>
    </row>
    <row r="18" s="55" customFormat="1" ht="15" customHeight="1" spans="1:26">
      <c r="A18" s="72"/>
      <c r="B18" s="74"/>
      <c r="C18" s="72"/>
      <c r="D18" s="73"/>
      <c r="E18" s="73"/>
      <c r="F18" s="73"/>
      <c r="G18" s="73"/>
      <c r="H18" s="73"/>
      <c r="I18" s="73"/>
      <c r="J18" s="74"/>
      <c r="K18" s="72"/>
      <c r="L18" s="74"/>
      <c r="M18" s="91"/>
      <c r="N18" s="92"/>
      <c r="O18" s="93"/>
      <c r="P18" s="93"/>
      <c r="Q18" s="94"/>
      <c r="R18" s="72"/>
      <c r="S18" s="73"/>
      <c r="T18" s="74"/>
    </row>
    <row r="19" s="55" customFormat="1" ht="15" customHeight="1" spans="1:26">
      <c r="A19" s="87" t="s">
        <v>51</v>
      </c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9"/>
    </row>
    <row r="20" s="55" customFormat="1" ht="21.4" customHeight="1" spans="1:26">
      <c r="A20" s="95" t="s">
        <v>52</v>
      </c>
      <c r="B20" s="95"/>
      <c r="C20" s="96" t="s">
        <v>53</v>
      </c>
      <c r="D20" s="95" t="s">
        <v>54</v>
      </c>
      <c r="E20" s="95"/>
      <c r="F20" s="95"/>
      <c r="G20" s="97" t="s">
        <v>55</v>
      </c>
      <c r="H20" s="98"/>
      <c r="I20" s="98"/>
      <c r="J20" s="99"/>
      <c r="K20" s="100" t="s">
        <v>56</v>
      </c>
      <c r="L20" s="101"/>
      <c r="M20" s="102">
        <v>1.4</v>
      </c>
      <c r="N20" s="103" t="s">
        <v>5</v>
      </c>
      <c r="O20" s="104">
        <v>0.055</v>
      </c>
      <c r="P20" s="104"/>
      <c r="Q20" s="105"/>
      <c r="R20" s="101" t="s">
        <v>57</v>
      </c>
      <c r="S20" s="106"/>
      <c r="T20" s="96" t="s">
        <v>58</v>
      </c>
    </row>
    <row r="21" s="55" customFormat="1" ht="22.5" spans="1:26">
      <c r="A21" s="107" t="s">
        <v>59</v>
      </c>
      <c r="B21" s="107"/>
      <c r="C21" s="108"/>
      <c r="D21" s="109" t="s">
        <v>60</v>
      </c>
      <c r="E21" s="110">
        <v>465.3</v>
      </c>
      <c r="F21" s="111" t="s">
        <v>61</v>
      </c>
      <c r="G21" s="112">
        <v>172.5</v>
      </c>
      <c r="H21" s="111" t="s">
        <v>62</v>
      </c>
      <c r="I21" s="113">
        <v>1</v>
      </c>
      <c r="J21" s="114" t="s">
        <v>63</v>
      </c>
      <c r="K21" s="95" t="s">
        <v>64</v>
      </c>
      <c r="L21" s="96" t="s">
        <v>65</v>
      </c>
      <c r="M21" s="109" t="s">
        <v>66</v>
      </c>
      <c r="N21" s="115"/>
      <c r="O21" s="116"/>
      <c r="P21" s="116"/>
      <c r="Q21" s="117"/>
      <c r="R21" s="100" t="s">
        <v>67</v>
      </c>
      <c r="S21" s="106"/>
      <c r="T21" s="78"/>
      <c r="U21" s="118"/>
    </row>
    <row r="22" s="55" customFormat="1" ht="15" spans="1:26">
      <c r="A22" s="83" t="s">
        <v>68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5"/>
    </row>
    <row r="23" s="55" customFormat="1" ht="30" customHeight="1" spans="1:26">
      <c r="A23" s="119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</row>
    <row r="24" s="55" customFormat="1" ht="21" customHeight="1" spans="1:26">
      <c r="A24" s="120" t="s">
        <v>69</v>
      </c>
      <c r="B24" s="120"/>
      <c r="C24" s="95" t="s">
        <v>70</v>
      </c>
      <c r="D24" s="121" t="s">
        <v>71</v>
      </c>
      <c r="E24" s="122"/>
      <c r="F24" s="121" t="s">
        <v>72</v>
      </c>
      <c r="G24" s="123"/>
      <c r="H24" s="123"/>
      <c r="I24" s="123"/>
      <c r="J24" s="122"/>
      <c r="K24" s="100" t="s">
        <v>73</v>
      </c>
      <c r="L24" s="101"/>
      <c r="M24" s="101"/>
      <c r="N24" s="123"/>
      <c r="O24" s="123"/>
      <c r="P24" s="123"/>
      <c r="Q24" s="122"/>
      <c r="R24" s="100" t="s">
        <v>74</v>
      </c>
      <c r="S24" s="101"/>
      <c r="T24" s="106"/>
    </row>
    <row r="25" s="55" customFormat="1" ht="21" customHeight="1" spans="1:26">
      <c r="A25" s="124"/>
      <c r="B25" s="125"/>
      <c r="C25" s="124"/>
      <c r="D25" s="124"/>
      <c r="E25" s="125"/>
      <c r="F25" s="126"/>
      <c r="G25" s="126"/>
      <c r="H25" s="126"/>
      <c r="I25" s="126"/>
      <c r="J25" s="125"/>
      <c r="K25" s="126"/>
      <c r="L25" s="124"/>
      <c r="M25" s="124"/>
      <c r="N25" s="124"/>
      <c r="O25" s="126"/>
      <c r="P25" s="126"/>
      <c r="Q25" s="125"/>
      <c r="R25" s="127"/>
      <c r="S25" s="127"/>
      <c r="T25" s="128"/>
    </row>
    <row r="26" s="55" customFormat="1" ht="15" spans="1:26">
      <c r="A26" s="129"/>
      <c r="B26" s="130"/>
      <c r="C26" s="129"/>
      <c r="D26" s="129"/>
      <c r="E26" s="130"/>
      <c r="F26" s="131"/>
      <c r="G26" s="131"/>
      <c r="H26" s="131"/>
      <c r="I26" s="131"/>
      <c r="J26" s="130"/>
      <c r="K26" s="131"/>
      <c r="L26" s="129"/>
      <c r="M26" s="129"/>
      <c r="N26" s="129"/>
      <c r="O26" s="131"/>
      <c r="P26" s="131"/>
      <c r="Q26" s="130"/>
      <c r="R26" s="132"/>
      <c r="S26" s="132"/>
      <c r="T26" s="133"/>
    </row>
    <row r="27" s="55" customFormat="1" ht="15" spans="1:26">
      <c r="A27" s="134"/>
      <c r="B27" s="134"/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S27" s="135"/>
      <c r="T27" s="135"/>
    </row>
    <row r="28" ht="25" customHeight="1" spans="1:26">
      <c r="A28" s="2"/>
      <c r="B28" s="57"/>
      <c r="C28" s="58"/>
      <c r="D28" s="3" t="s">
        <v>0</v>
      </c>
      <c r="E28" s="3"/>
      <c r="F28" s="3"/>
      <c r="G28" s="3"/>
      <c r="H28" s="3"/>
      <c r="I28" s="3"/>
      <c r="J28" s="3"/>
      <c r="K28" s="3"/>
      <c r="L28" s="3"/>
      <c r="M28" s="59" t="s">
        <v>1</v>
      </c>
      <c r="N28" s="60"/>
      <c r="O28" s="60"/>
      <c r="P28" s="60"/>
      <c r="Q28" s="60"/>
      <c r="R28" s="59" t="s">
        <v>2</v>
      </c>
      <c r="S28" s="59"/>
      <c r="T28" s="59"/>
    </row>
    <row r="29" ht="25" customHeight="1" spans="1:26">
      <c r="A29" s="61"/>
      <c r="B29" s="62"/>
      <c r="C29" s="63"/>
      <c r="D29" s="3"/>
      <c r="E29" s="3"/>
      <c r="F29" s="3"/>
      <c r="G29" s="3"/>
      <c r="H29" s="3"/>
      <c r="I29" s="3"/>
      <c r="J29" s="3"/>
      <c r="K29" s="3"/>
      <c r="L29" s="3"/>
      <c r="M29" s="64" t="s">
        <v>3</v>
      </c>
      <c r="N29" s="65" t="s">
        <v>4</v>
      </c>
      <c r="O29" s="65"/>
      <c r="P29" s="66" t="s">
        <v>5</v>
      </c>
      <c r="Q29" s="67" t="s">
        <v>6</v>
      </c>
      <c r="R29" s="68"/>
      <c r="S29" s="69"/>
      <c r="T29" s="69"/>
    </row>
    <row r="30" s="1" customFormat="1" ht="24" customHeight="1" spans="1:26">
      <c r="A30" s="136" t="s">
        <v>75</v>
      </c>
      <c r="B30" s="50" t="s">
        <v>76</v>
      </c>
      <c r="C30" s="50" t="s">
        <v>77</v>
      </c>
      <c r="D30" s="50" t="s">
        <v>78</v>
      </c>
      <c r="E30" s="50"/>
      <c r="F30" s="50"/>
      <c r="G30" s="50"/>
      <c r="H30" s="50"/>
      <c r="I30" s="50"/>
      <c r="J30" s="50"/>
      <c r="K30" s="50"/>
      <c r="L30" s="50"/>
      <c r="M30" s="136" t="s">
        <v>79</v>
      </c>
      <c r="N30" s="136"/>
      <c r="O30" s="50" t="s">
        <v>80</v>
      </c>
      <c r="P30" s="50" t="s">
        <v>81</v>
      </c>
      <c r="Q30" s="50"/>
      <c r="R30" s="50"/>
      <c r="S30" s="50"/>
      <c r="T30" s="50"/>
    </row>
    <row r="31" s="56" customFormat="1" ht="72" spans="1:26">
      <c r="A31" s="137">
        <v>10</v>
      </c>
      <c r="B31" s="138" t="str">
        <f>CONCATENATE(X31,CHAR(10),Y31)</f>
        <v>钣金领料
SM Incoming Inspection</v>
      </c>
      <c r="C31" s="137" t="s">
        <v>5</v>
      </c>
      <c r="D31" s="139" t="s">
        <v>82</v>
      </c>
      <c r="E31" s="138"/>
      <c r="F31" s="138"/>
      <c r="G31" s="138"/>
      <c r="H31" s="138"/>
      <c r="I31" s="138"/>
      <c r="J31" s="138"/>
      <c r="K31" s="138"/>
      <c r="L31" s="138"/>
      <c r="M31" s="140" t="s">
        <v>83</v>
      </c>
      <c r="N31" s="140"/>
      <c r="O31" s="141" t="s">
        <v>84</v>
      </c>
      <c r="P31" s="141" t="s">
        <v>85</v>
      </c>
      <c r="Q31" s="141"/>
      <c r="R31" s="141"/>
      <c r="S31" s="141"/>
      <c r="T31" s="141"/>
      <c r="X31" t="s">
        <v>86</v>
      </c>
      <c r="Y31" t="s">
        <v>87</v>
      </c>
      <c r="Z31" s="56" t="str">
        <f>D31</f>
        <v>按FT检查来料的牌号/状态、规格、批号和表面状态；
Inspect incoming material specification/condition, size, lot number and surface quality per FT;
材料代用单号：___________________
Material Substitution Sheet NO:</v>
      </c>
    </row>
    <row r="32" s="56" customFormat="1" ht="72" spans="1:26">
      <c r="A32" s="137">
        <v>20</v>
      </c>
      <c r="B32" s="138" t="str">
        <f t="shared" ref="B32:B37" si="0">CONCATENATE(X32,CHAR(10),Y32)</f>
        <v>法国数控叠料下料铣床钣金下料
NC Routing</v>
      </c>
      <c r="C32" s="137" t="s">
        <v>5</v>
      </c>
      <c r="D32" s="138" t="s">
        <v>88</v>
      </c>
      <c r="E32" s="138"/>
      <c r="F32" s="138"/>
      <c r="G32" s="138"/>
      <c r="H32" s="138"/>
      <c r="I32" s="138"/>
      <c r="J32" s="138"/>
      <c r="K32" s="138"/>
      <c r="L32" s="138"/>
      <c r="M32" s="140" t="s">
        <v>83</v>
      </c>
      <c r="N32" s="140"/>
      <c r="O32" s="141" t="s">
        <v>84</v>
      </c>
      <c r="P32" s="141" t="s">
        <v>85</v>
      </c>
      <c r="Q32" s="141"/>
      <c r="R32" s="141"/>
      <c r="S32" s="141"/>
      <c r="T32" s="141"/>
      <c r="X32" t="s">
        <v>89</v>
      </c>
      <c r="Y32" t="s">
        <v>90</v>
      </c>
      <c r="Z32" s="56" t="str">
        <f t="shared" ref="Z32:Z34" si="1">D32</f>
        <v>按照AIPS03-11-001及XA-OI-0310-01使用数控下料铣铣制外形及孔(参照草图1)，展开数据集E53234023200-01。
Milling the profile and hole according to AIPS03-11-001 and XA-OI-0310-01(See sketch 1), unfolded data E53234023200-01.</v>
      </c>
    </row>
    <row r="33" s="56" customFormat="1" ht="72" spans="1:26">
      <c r="A33" s="137">
        <v>30</v>
      </c>
      <c r="B33" s="138" t="str">
        <f t="shared" si="0"/>
        <v>钣金钳工（新）
Benchwork</v>
      </c>
      <c r="C33" s="137" t="s">
        <v>91</v>
      </c>
      <c r="D33" s="138" t="s">
        <v>92</v>
      </c>
      <c r="E33" s="138"/>
      <c r="F33" s="138"/>
      <c r="G33" s="138"/>
      <c r="H33" s="138"/>
      <c r="I33" s="138"/>
      <c r="J33" s="138"/>
      <c r="K33" s="138"/>
      <c r="L33" s="138"/>
      <c r="M33" s="140" t="s">
        <v>83</v>
      </c>
      <c r="N33" s="140"/>
      <c r="O33" s="141" t="s">
        <v>84</v>
      </c>
      <c r="P33" s="141" t="s">
        <v>85</v>
      </c>
      <c r="Q33" s="141"/>
      <c r="R33" s="141"/>
      <c r="S33" s="141"/>
      <c r="T33" s="141"/>
      <c r="X33" t="s">
        <v>93</v>
      </c>
      <c r="Y33" t="s">
        <v>94</v>
      </c>
      <c r="Z33" s="56" t="str">
        <f t="shared" si="1"/>
        <v>按文件ADET0031和XA-OI-0311-01去除零件毛刺。
Deburring around the edge of the part  according to ADET0031 and XA-OI-0311-01.</v>
      </c>
    </row>
    <row r="34" s="56" customFormat="1" ht="72" spans="1:26">
      <c r="A34" s="137">
        <v>40</v>
      </c>
      <c r="B34" s="138" t="str">
        <f t="shared" si="0"/>
        <v>钣金下料检验
SM inspection</v>
      </c>
      <c r="C34" s="137" t="s">
        <v>91</v>
      </c>
      <c r="D34" s="138" t="s">
        <v>95</v>
      </c>
      <c r="E34" s="138"/>
      <c r="F34" s="138"/>
      <c r="G34" s="138"/>
      <c r="H34" s="138"/>
      <c r="I34" s="138"/>
      <c r="J34" s="138"/>
      <c r="K34" s="138"/>
      <c r="L34" s="138"/>
      <c r="M34" s="140" t="s">
        <v>83</v>
      </c>
      <c r="N34" s="140"/>
      <c r="O34" s="141" t="s">
        <v>96</v>
      </c>
      <c r="P34" s="141" t="s">
        <v>97</v>
      </c>
      <c r="Q34" s="141"/>
      <c r="R34" s="141"/>
      <c r="S34" s="141"/>
      <c r="T34" s="141"/>
      <c r="X34" t="s">
        <v>98</v>
      </c>
      <c r="Y34" t="s">
        <v>99</v>
      </c>
      <c r="Z34" s="56" t="str">
        <f t="shared" si="1"/>
        <v>1、按XA-QI-0314 进行手工测量;
Semi-Finished Inspection per XA-QI-0314</v>
      </c>
    </row>
    <row r="35" s="56" customFormat="1" ht="72" customHeight="1" spans="1:26">
      <c r="A35" s="137">
        <v>50</v>
      </c>
      <c r="B35" s="138" t="str">
        <f t="shared" si="0"/>
        <v>通用铝合金手工清洗
Cleaning of aluminum alloys</v>
      </c>
      <c r="C35" s="137" t="s">
        <v>5</v>
      </c>
      <c r="D35" s="138" t="s">
        <v>100</v>
      </c>
      <c r="E35" s="138"/>
      <c r="F35" s="138"/>
      <c r="G35" s="138"/>
      <c r="H35" s="138"/>
      <c r="I35" s="138"/>
      <c r="J35" s="138"/>
      <c r="K35" s="138"/>
      <c r="L35" s="138"/>
      <c r="M35" s="140" t="s">
        <v>83</v>
      </c>
      <c r="N35" s="140"/>
      <c r="O35" s="141" t="s">
        <v>84</v>
      </c>
      <c r="P35" s="141" t="s">
        <v>85</v>
      </c>
      <c r="Q35" s="141"/>
      <c r="R35" s="141"/>
      <c r="S35" s="141"/>
      <c r="T35" s="141"/>
      <c r="X35" t="s">
        <v>101</v>
      </c>
      <c r="Y35" t="s">
        <v>102</v>
      </c>
      <c r="Z35" s="56" t="str">
        <f t="shared" ref="Z35:Z47" si="2">D35</f>
        <v>清洗按照XA-OI-0401/AIPI09-01-002进行;
Cleaning of aluminum alloys  Cleaning per XA-OI-0401/AIPI09-01-002</v>
      </c>
    </row>
    <row r="36" s="56" customFormat="1" ht="126.75" customHeight="1" spans="1:26">
      <c r="A36" s="137">
        <v>60</v>
      </c>
      <c r="B36" s="138" t="str">
        <f t="shared" si="0"/>
        <v>AIPS/AIPI铝合金的固溶
Solution</v>
      </c>
      <c r="C36" s="137" t="s">
        <v>5</v>
      </c>
      <c r="D36" s="138" t="s">
        <v>103</v>
      </c>
      <c r="E36" s="138"/>
      <c r="F36" s="138"/>
      <c r="G36" s="138"/>
      <c r="H36" s="138"/>
      <c r="I36" s="138"/>
      <c r="J36" s="138"/>
      <c r="K36" s="138"/>
      <c r="L36" s="138"/>
      <c r="M36" s="140" t="s">
        <v>83</v>
      </c>
      <c r="N36" s="140"/>
      <c r="O36" s="141" t="s">
        <v>84</v>
      </c>
      <c r="P36" s="141" t="s">
        <v>85</v>
      </c>
      <c r="Q36" s="141"/>
      <c r="R36" s="141"/>
      <c r="S36" s="141"/>
      <c r="T36" s="141"/>
      <c r="X36" t="s">
        <v>104</v>
      </c>
      <c r="Y36" t="s">
        <v>105</v>
      </c>
      <c r="Z36" s="56" t="str">
        <f t="shared" si="2"/>
        <v>1.按文件XA-OI-0401和AIPI04-01-001进行固溶处理，将零件处理到W状态。保温温度为(495±5)℃，保温时间(35±5)min，淬火水温15℃～32℃，淬火过程水温不超过10℃，淬火后，水温≤37.8℃，淬火转移时间≤10秒。调用编号0020程序
Solution treatment to “W” condition according to XA-OI-0401 and AIPI04-01-001. Temperature is (495±5)℃, soaking time is(35±5)min, quenching in water and initial water temperature is in a range of 15℃～32℃, water temperature shall not rise by more than 10℃ and final temperature less than 37.8℃, maximum quench delay is 10 seconds.Call program No. 0020.
2.按文件XA-QI-0401进行检验。
Inspect according to XA-QI-0401.</v>
      </c>
    </row>
    <row r="37" s="56" customFormat="1" ht="72" spans="1:26">
      <c r="A37" s="137">
        <v>70</v>
      </c>
      <c r="B37" s="138" t="str">
        <f t="shared" si="0"/>
        <v>通用冷藏
Refrigerate</v>
      </c>
      <c r="C37" s="137" t="s">
        <v>5</v>
      </c>
      <c r="D37" s="138" t="s">
        <v>106</v>
      </c>
      <c r="E37" s="138"/>
      <c r="F37" s="138"/>
      <c r="G37" s="138"/>
      <c r="H37" s="138"/>
      <c r="I37" s="138"/>
      <c r="J37" s="138"/>
      <c r="K37" s="138"/>
      <c r="L37" s="138"/>
      <c r="M37" s="140" t="s">
        <v>83</v>
      </c>
      <c r="N37" s="140"/>
      <c r="O37" s="141" t="s">
        <v>84</v>
      </c>
      <c r="P37" s="141" t="s">
        <v>85</v>
      </c>
      <c r="Q37" s="141"/>
      <c r="R37" s="141"/>
      <c r="S37" s="141"/>
      <c r="T37" s="141"/>
      <c r="X37" t="s">
        <v>107</v>
      </c>
      <c r="Y37" t="s">
        <v>108</v>
      </c>
      <c r="Z37" s="56" t="str">
        <f t="shared" ref="Z37" si="3">D37</f>
        <v>1.按文件XA-OI-0401进行冷藏，并在冷藏记录和“W状态成形/校形记录”中填写质量记录。
Refrigerated storage parts according to XA-OI-0401，and fill the quality records in refrigeration record and “W” Condition Forming/Straightening Record.
2.按文件XA-QI-0401进行检验。
Inspect according to XA-QI-0401.</v>
      </c>
    </row>
    <row r="38" s="56" customFormat="1" ht="72" spans="1:26">
      <c r="A38" s="137">
        <v>80</v>
      </c>
      <c r="B38" s="138" t="str">
        <f t="shared" ref="B38:B47" si="4">CONCATENATE(X38,CHAR(10),Y38)</f>
        <v>橡皮囊液压成型机液压
Hydraulic Forming</v>
      </c>
      <c r="C38" s="137" t="s">
        <v>109</v>
      </c>
      <c r="D38" s="138" t="s">
        <v>110</v>
      </c>
      <c r="E38" s="138"/>
      <c r="F38" s="138"/>
      <c r="G38" s="138"/>
      <c r="H38" s="138"/>
      <c r="I38" s="138"/>
      <c r="J38" s="138"/>
      <c r="K38" s="138"/>
      <c r="L38" s="138"/>
      <c r="M38" s="140" t="s">
        <v>83</v>
      </c>
      <c r="N38" s="140"/>
      <c r="O38" s="141" t="s">
        <v>84</v>
      </c>
      <c r="P38" s="141" t="s">
        <v>85</v>
      </c>
      <c r="Q38" s="141"/>
      <c r="R38" s="141"/>
      <c r="S38" s="141"/>
      <c r="T38" s="141"/>
      <c r="X38" t="s">
        <v>111</v>
      </c>
      <c r="Y38" t="s">
        <v>112</v>
      </c>
      <c r="Z38" s="56" t="str">
        <f t="shared" si="2"/>
        <v>按文件AIPS 03-10-005以及 XA-OI-0312-02，根据草图1将展开料液压成形，符合图纸的要求。
Hydraulic forming the developed material according to AIPS 03-10-005 and XA-OI-0312-02 to meet the requirements of drawing. See sketch 1.</v>
      </c>
    </row>
    <row r="39" s="56" customFormat="1" ht="104.25" customHeight="1" spans="1:26">
      <c r="A39" s="137">
        <v>90</v>
      </c>
      <c r="B39" s="138" t="str">
        <f t="shared" si="4"/>
        <v>钣金校形
Dress</v>
      </c>
      <c r="C39" s="137" t="s">
        <v>91</v>
      </c>
      <c r="D39" s="138" t="s">
        <v>113</v>
      </c>
      <c r="E39" s="138"/>
      <c r="F39" s="138"/>
      <c r="G39" s="138"/>
      <c r="H39" s="138"/>
      <c r="I39" s="138"/>
      <c r="J39" s="138"/>
      <c r="K39" s="138"/>
      <c r="L39" s="138"/>
      <c r="M39" s="140" t="s">
        <v>83</v>
      </c>
      <c r="N39" s="140"/>
      <c r="O39" s="141" t="s">
        <v>84</v>
      </c>
      <c r="P39" s="141" t="s">
        <v>85</v>
      </c>
      <c r="Q39" s="141"/>
      <c r="R39" s="141"/>
      <c r="S39" s="141"/>
      <c r="T39" s="141"/>
      <c r="X39" t="s">
        <v>114</v>
      </c>
      <c r="Y39" t="s">
        <v>115</v>
      </c>
      <c r="Z39" s="56" t="str">
        <f t="shared" si="2"/>
        <v>淬火后，零件在-1℃～37.8℃保持W状态的最长时间为30分钟。冷藏温度在-18℃以下，保存时间不能超过7天。在“W状态成形/校形记录”中填写质量记录。
Reach -1℃ to 37.8℃ after quenching, maximum time held in w condition is 30min. Storage temperature below -18℃ and storage time is less than 7 days. Fill the quality record in “W” Condition Forming/Straightening Record.
按文件AIPS 03-10-005及XA-OI-0312-01校形零件，符合图纸及公差要求；
Straightening  parts according to AIPS 03-10-005  and XA-OI-0312-01to meet the requirments of drawing and tolerance.</v>
      </c>
    </row>
    <row r="40" s="56" customFormat="1" ht="72" customHeight="1" spans="1:26">
      <c r="A40" s="137">
        <v>100</v>
      </c>
      <c r="B40" s="138" t="str">
        <f t="shared" si="4"/>
        <v>钣金成型检验
SM inspection</v>
      </c>
      <c r="C40" s="137" t="s">
        <v>91</v>
      </c>
      <c r="D40" s="138" t="s">
        <v>116</v>
      </c>
      <c r="E40" s="138"/>
      <c r="F40" s="138"/>
      <c r="G40" s="138"/>
      <c r="H40" s="138"/>
      <c r="I40" s="138"/>
      <c r="J40" s="138"/>
      <c r="K40" s="138"/>
      <c r="L40" s="138"/>
      <c r="M40" s="140" t="s">
        <v>83</v>
      </c>
      <c r="N40" s="140"/>
      <c r="O40" s="141" t="s">
        <v>96</v>
      </c>
      <c r="P40" s="141" t="s">
        <v>97</v>
      </c>
      <c r="Q40" s="141"/>
      <c r="R40" s="141"/>
      <c r="S40" s="141"/>
      <c r="T40" s="141"/>
      <c r="X40" t="s">
        <v>117</v>
      </c>
      <c r="Y40" t="s">
        <v>99</v>
      </c>
      <c r="Z40" s="56" t="str">
        <f t="shared" si="2"/>
        <v>1、按XA-QI-0315 进行手工测量;
Semi-Finished Inspection per XA-QI-0315;</v>
      </c>
    </row>
    <row r="41" s="56" customFormat="1" ht="94.5" customHeight="1" spans="1:26">
      <c r="A41" s="137">
        <v>110</v>
      </c>
      <c r="B41" s="138" t="str">
        <f t="shared" si="4"/>
        <v>电导率
Electrical Conductivity Test</v>
      </c>
      <c r="C41" s="137" t="s">
        <v>5</v>
      </c>
      <c r="D41" s="138" t="s">
        <v>118</v>
      </c>
      <c r="E41" s="138"/>
      <c r="F41" s="138"/>
      <c r="G41" s="138"/>
      <c r="H41" s="138"/>
      <c r="I41" s="138"/>
      <c r="J41" s="138"/>
      <c r="K41" s="138"/>
      <c r="L41" s="138"/>
      <c r="M41" s="140" t="s">
        <v>83</v>
      </c>
      <c r="N41" s="140"/>
      <c r="O41" s="141" t="s">
        <v>96</v>
      </c>
      <c r="P41" s="141" t="s">
        <v>97</v>
      </c>
      <c r="Q41" s="141"/>
      <c r="R41" s="141"/>
      <c r="S41" s="141"/>
      <c r="T41" s="141"/>
      <c r="X41" t="s">
        <v>119</v>
      </c>
      <c r="Y41" t="s">
        <v>120</v>
      </c>
      <c r="Z41" s="56" t="str">
        <f t="shared" si="2"/>
        <v>在室温（15℃～40℃）保持至少96小时自然时效至T42状态后，按照XA-Lab-2301和AITM6-6004在有效测试区域内进行电导率测试，电导率满足 ：（16.5-21.5）MS/m。
After natural aging at RT (15℃～40℃) for 96 hours minimum to T42 temper, electrical Conductivity Test in the effective test area as per XA-Lab-2301 and AITM6-6004, test value shall meet the requirement：（16.5-21.5）MS/m.
测试结果/Test value:________________________
测试时间/Operating time: ________________________</v>
      </c>
    </row>
    <row r="42" s="56" customFormat="1" ht="144" customHeight="1" spans="1:26">
      <c r="A42" s="137">
        <v>120</v>
      </c>
      <c r="B42" s="138" t="str">
        <f t="shared" si="4"/>
        <v>AIPS/AIPI酒石酸硫酸阳极化紧公差不封闭
AIPS/AIPI unsealed TSA for tight dimensional tolerance</v>
      </c>
      <c r="C42" s="137" t="s">
        <v>5</v>
      </c>
      <c r="D42" s="138" t="s">
        <v>121</v>
      </c>
      <c r="E42" s="138"/>
      <c r="F42" s="138"/>
      <c r="G42" s="138"/>
      <c r="H42" s="138"/>
      <c r="I42" s="138"/>
      <c r="J42" s="138"/>
      <c r="K42" s="138"/>
      <c r="L42" s="138"/>
      <c r="M42" s="140" t="s">
        <v>122</v>
      </c>
      <c r="N42" s="140"/>
      <c r="O42" s="141" t="s">
        <v>84</v>
      </c>
      <c r="P42" s="141" t="s">
        <v>85</v>
      </c>
      <c r="Q42" s="141"/>
      <c r="R42" s="141"/>
      <c r="S42" s="141"/>
      <c r="T42" s="141"/>
      <c r="X42" t="s">
        <v>123</v>
      </c>
      <c r="Y42" t="s">
        <v>124</v>
      </c>
      <c r="Z42" s="56" t="str">
        <f t="shared" si="2"/>
        <v>1、按照XA-OI-0201-03/AIPS 02-01-003文件要求，执行K7程序进行非紧公差、不封闭的酒石酸阳极化处理，在质量记录一列记录生产记录编号；
Perform unsealed TSA of aluminum alloys for no tight dimensional tolerance per K7 program according to XA-OI-0201-03/AIPS 02-01-003, fill the production record No. in the quality record column.
2、按照XA-QI-0201文件要求进行质量检验。
Quality inspection per XA-QI-0201.</v>
      </c>
    </row>
    <row r="43" s="56" customFormat="1" ht="129.75" customHeight="1" spans="1:26">
      <c r="A43" s="137">
        <v>130</v>
      </c>
      <c r="B43" s="138" t="str">
        <f t="shared" si="4"/>
        <v>AIPS/AIPI喷P60-A底漆
AIPS/AIPI P60-A primer painting</v>
      </c>
      <c r="C43" s="137" t="s">
        <v>5</v>
      </c>
      <c r="D43" s="138" t="s">
        <v>125</v>
      </c>
      <c r="E43" s="138"/>
      <c r="F43" s="138"/>
      <c r="G43" s="138"/>
      <c r="H43" s="138"/>
      <c r="I43" s="138"/>
      <c r="J43" s="138"/>
      <c r="K43" s="138"/>
      <c r="L43" s="138"/>
      <c r="M43" s="140" t="s">
        <v>122</v>
      </c>
      <c r="N43" s="140"/>
      <c r="O43" s="141" t="s">
        <v>84</v>
      </c>
      <c r="P43" s="141" t="s">
        <v>85</v>
      </c>
      <c r="Q43" s="141"/>
      <c r="R43" s="141"/>
      <c r="S43" s="141"/>
      <c r="T43" s="141"/>
      <c r="X43" t="s">
        <v>126</v>
      </c>
      <c r="Y43" t="s">
        <v>127</v>
      </c>
      <c r="Z43" s="56" t="str">
        <f t="shared" si="2"/>
        <v>1、阳极化后24小时之内，按照文件XA-OI-0501-03/AIPS 05-02-009文件要求，喷涂P60-A底漆，在质量记录一列记录喷漆记录编号及漆膜厚度范围值；
P60-A primer painting per XA-OI-0501-03/AIPS 05-02-009 within 24 hours after anodizing, fill the painting record No. in the quality record column and record film thickness range.
2、按照XA-QI-0501-03文件要求进行质量检验。
Quality inspection per XA-QI-0501-03.
漆膜厚度要求值：15-25μm
Film thickness value range shall be 15-25μm
记录漆膜厚度范围值/ record the range of dry film thickness：_________________________</v>
      </c>
    </row>
    <row r="44" s="56" customFormat="1" ht="126.75" customHeight="1" spans="1:26">
      <c r="A44" s="137">
        <v>140</v>
      </c>
      <c r="B44" s="138" t="str">
        <f t="shared" si="4"/>
        <v>AIPS/AIPI喷F70-A面漆
AIPS/AIPI F70-A topcoat painting</v>
      </c>
      <c r="C44" s="137" t="s">
        <v>5</v>
      </c>
      <c r="D44" s="138" t="s">
        <v>128</v>
      </c>
      <c r="E44" s="138"/>
      <c r="F44" s="138"/>
      <c r="G44" s="138"/>
      <c r="H44" s="138"/>
      <c r="I44" s="138"/>
      <c r="J44" s="138"/>
      <c r="K44" s="138"/>
      <c r="L44" s="138"/>
      <c r="M44" s="140" t="s">
        <v>122</v>
      </c>
      <c r="N44" s="140"/>
      <c r="O44" s="141" t="s">
        <v>84</v>
      </c>
      <c r="P44" s="141" t="s">
        <v>85</v>
      </c>
      <c r="Q44" s="141"/>
      <c r="R44" s="141"/>
      <c r="S44" s="141"/>
      <c r="T44" s="141"/>
      <c r="X44" t="s">
        <v>129</v>
      </c>
      <c r="Y44" t="s">
        <v>130</v>
      </c>
      <c r="Z44" s="56" t="str">
        <f t="shared" si="2"/>
        <v>1、底漆喷涂后48小时内，按照文件XA-OI-0501-04/AIPS 05-02-009文件要求，喷涂F70-A面漆，在质量记录一列记录喷漆记录编号及漆膜厚度范围值；
F70-A topcoat painting per XA-OI-0501-04/AIPS 05-02-009 within 48 hours after primer painting, fill the painting record No. in the quality record column and record film thickness range.
2、按照XA-QI-0501-04文件要求进行质量检验。
Quality inspection per XA-QI-0501-04.
漆膜厚度要求值：20-30μm
Film thickness value range shall be 20-30μm
记录漆膜厚度范围值/ record the range of dry film thickness：_________________________</v>
      </c>
    </row>
    <row r="45" s="56" customFormat="1" ht="75.75" customHeight="1" spans="1:26">
      <c r="A45" s="137">
        <v>150</v>
      </c>
      <c r="B45" s="138" t="str">
        <f t="shared" si="4"/>
        <v>喷码
Marking</v>
      </c>
      <c r="C45" s="137" t="s">
        <v>5</v>
      </c>
      <c r="D45" s="138" t="s">
        <v>131</v>
      </c>
      <c r="E45" s="138"/>
      <c r="F45" s="138"/>
      <c r="G45" s="138"/>
      <c r="H45" s="138"/>
      <c r="I45" s="138"/>
      <c r="J45" s="138"/>
      <c r="K45" s="138"/>
      <c r="L45" s="138"/>
      <c r="M45" s="140" t="s">
        <v>83</v>
      </c>
      <c r="N45" s="140"/>
      <c r="O45" s="141" t="s">
        <v>84</v>
      </c>
      <c r="P45" s="141" t="s">
        <v>85</v>
      </c>
      <c r="Q45" s="141"/>
      <c r="R45" s="141"/>
      <c r="S45" s="141"/>
      <c r="T45" s="141"/>
      <c r="X45" t="s">
        <v>132</v>
      </c>
      <c r="Y45" t="s">
        <v>133</v>
      </c>
      <c r="Z45" s="56" t="str">
        <f t="shared" si="2"/>
        <v>使用喷码机在草图1所示位置喷涂零件标识，按ABD0003/AIPS-08-01-001/XA-OI-0801-02执行。
Use inkjet paint the part at the position where sketch1 indicated, operated as is seen in XA-OI-0801-02.
检验要求见XA-QI-0801-02。
The inspection requirement is in ABD0003/AIPS-08-01-001/XA-QI-0801-02.</v>
      </c>
    </row>
    <row r="46" s="56" customFormat="1" ht="72" spans="1:26">
      <c r="A46" s="137">
        <v>160</v>
      </c>
      <c r="B46" s="138" t="str">
        <f t="shared" si="4"/>
        <v>零件终检
Final Inspection</v>
      </c>
      <c r="C46" s="137" t="s">
        <v>91</v>
      </c>
      <c r="D46" s="138" t="s">
        <v>134</v>
      </c>
      <c r="E46" s="138"/>
      <c r="F46" s="138"/>
      <c r="G46" s="138"/>
      <c r="H46" s="138"/>
      <c r="I46" s="138"/>
      <c r="J46" s="138"/>
      <c r="K46" s="138"/>
      <c r="L46" s="138"/>
      <c r="M46" s="140" t="s">
        <v>83</v>
      </c>
      <c r="N46" s="140"/>
      <c r="O46" s="141" t="s">
        <v>96</v>
      </c>
      <c r="P46" s="141" t="s">
        <v>85</v>
      </c>
      <c r="Q46" s="141"/>
      <c r="R46" s="141"/>
      <c r="S46" s="141"/>
      <c r="T46" s="141"/>
      <c r="X46" t="s">
        <v>135</v>
      </c>
      <c r="Y46" t="s">
        <v>136</v>
      </c>
      <c r="Z46" s="56" t="str">
        <f t="shared" si="2"/>
        <v>1、按XA-QI-0313终检;
Final Inspection per XA-QI-0313;
2、开具合格证，在质量记录一列记录合格证编号;
Issue Certificate and record in the Quality Record column。</v>
      </c>
    </row>
    <row r="47" s="56" customFormat="1" ht="72" spans="1:26">
      <c r="A47" s="137">
        <v>170</v>
      </c>
      <c r="B47" s="138" t="str">
        <f t="shared" si="4"/>
        <v>成品入库
Storage</v>
      </c>
      <c r="C47" s="137" t="s">
        <v>5</v>
      </c>
      <c r="D47" s="138" t="s">
        <v>137</v>
      </c>
      <c r="E47" s="138"/>
      <c r="F47" s="138"/>
      <c r="G47" s="138"/>
      <c r="H47" s="138"/>
      <c r="I47" s="138"/>
      <c r="J47" s="138"/>
      <c r="K47" s="138"/>
      <c r="L47" s="138"/>
      <c r="M47" s="140" t="s">
        <v>83</v>
      </c>
      <c r="N47" s="140"/>
      <c r="O47" s="141" t="s">
        <v>84</v>
      </c>
      <c r="P47" s="141" t="s">
        <v>85</v>
      </c>
      <c r="Q47" s="141"/>
      <c r="R47" s="141"/>
      <c r="S47" s="141"/>
      <c r="T47" s="141"/>
      <c r="X47" t="s">
        <v>138</v>
      </c>
      <c r="Y47" t="s">
        <v>139</v>
      </c>
      <c r="Z47" s="56" t="str">
        <f t="shared" si="2"/>
        <v>按XA-OI-1001-01将零件放入聚乙烯薄膜袋中并塑封，将零件移交至零件库房，做好零件入库记录，本记录交由品质部归档。
Place parts in polyethylene bags and sealed according to XA-OI-1001-01,transfer the parts to partswarehouse,complete in-stock record,transfer the Traveler to Quality Department.</v>
      </c>
    </row>
  </sheetData>
  <sheetProtection formatCells="0" formatColumns="0" formatRows="0" insertRows="0" deleteRows="0" sort="0" autoFilter="0"/>
  <mergeCells count="164">
    <mergeCell ref="M1:Q1"/>
    <mergeCell ref="R1:T1"/>
    <mergeCell ref="N2:O2"/>
    <mergeCell ref="R2:T2"/>
    <mergeCell ref="A3:B3"/>
    <mergeCell ref="E3:H3"/>
    <mergeCell ref="I3:K3"/>
    <mergeCell ref="N3:Q3"/>
    <mergeCell ref="R3:T3"/>
    <mergeCell ref="A4:B4"/>
    <mergeCell ref="E4:H4"/>
    <mergeCell ref="I4:K4"/>
    <mergeCell ref="N4:Q4"/>
    <mergeCell ref="R4:T4"/>
    <mergeCell ref="A5:T5"/>
    <mergeCell ref="A6:B6"/>
    <mergeCell ref="D6:E6"/>
    <mergeCell ref="F6:K6"/>
    <mergeCell ref="N6:Q6"/>
    <mergeCell ref="R6:S6"/>
    <mergeCell ref="A7:B7"/>
    <mergeCell ref="D7:E7"/>
    <mergeCell ref="F7:K7"/>
    <mergeCell ref="N7:Q7"/>
    <mergeCell ref="R7:S7"/>
    <mergeCell ref="A8:B8"/>
    <mergeCell ref="D8:E8"/>
    <mergeCell ref="F8:K8"/>
    <mergeCell ref="N8:Q8"/>
    <mergeCell ref="R8:S8"/>
    <mergeCell ref="A9:B9"/>
    <mergeCell ref="D9:E9"/>
    <mergeCell ref="F9:K9"/>
    <mergeCell ref="N9:Q9"/>
    <mergeCell ref="R9:S9"/>
    <mergeCell ref="A10:T10"/>
    <mergeCell ref="A11:B11"/>
    <mergeCell ref="C11:J11"/>
    <mergeCell ref="K11:L11"/>
    <mergeCell ref="N11:Q11"/>
    <mergeCell ref="R11:T11"/>
    <mergeCell ref="A12:B12"/>
    <mergeCell ref="C12:J12"/>
    <mergeCell ref="K12:L12"/>
    <mergeCell ref="N12:Q12"/>
    <mergeCell ref="R12:T12"/>
    <mergeCell ref="A13:B13"/>
    <mergeCell ref="C13:J13"/>
    <mergeCell ref="K13:L13"/>
    <mergeCell ref="N13:Q13"/>
    <mergeCell ref="R13:T13"/>
    <mergeCell ref="A14:B14"/>
    <mergeCell ref="C14:J14"/>
    <mergeCell ref="K14:L14"/>
    <mergeCell ref="N14:Q14"/>
    <mergeCell ref="R14:T14"/>
    <mergeCell ref="A15:B15"/>
    <mergeCell ref="C15:J15"/>
    <mergeCell ref="K15:L15"/>
    <mergeCell ref="N15:Q15"/>
    <mergeCell ref="R15:T15"/>
    <mergeCell ref="A16:B16"/>
    <mergeCell ref="C16:J16"/>
    <mergeCell ref="K16:L16"/>
    <mergeCell ref="N16:Q16"/>
    <mergeCell ref="R16:T16"/>
    <mergeCell ref="A17:B17"/>
    <mergeCell ref="C17:J17"/>
    <mergeCell ref="K17:L17"/>
    <mergeCell ref="N17:Q17"/>
    <mergeCell ref="R17:T17"/>
    <mergeCell ref="A18:B18"/>
    <mergeCell ref="C18:J18"/>
    <mergeCell ref="K18:L18"/>
    <mergeCell ref="N18:Q18"/>
    <mergeCell ref="R18:T18"/>
    <mergeCell ref="A19:T19"/>
    <mergeCell ref="A20:B20"/>
    <mergeCell ref="D20:F20"/>
    <mergeCell ref="G20:J20"/>
    <mergeCell ref="K20:L20"/>
    <mergeCell ref="O20:Q20"/>
    <mergeCell ref="R20:S20"/>
    <mergeCell ref="A21:B21"/>
    <mergeCell ref="N21:Q21"/>
    <mergeCell ref="R21:S21"/>
    <mergeCell ref="A22:T22"/>
    <mergeCell ref="A23:T23"/>
    <mergeCell ref="A24:B24"/>
    <mergeCell ref="D24:E24"/>
    <mergeCell ref="F24:J24"/>
    <mergeCell ref="K24:Q24"/>
    <mergeCell ref="R24:T24"/>
    <mergeCell ref="A25:B25"/>
    <mergeCell ref="D25:E25"/>
    <mergeCell ref="F25:J25"/>
    <mergeCell ref="N25:Q25"/>
    <mergeCell ref="A26:B26"/>
    <mergeCell ref="D26:E26"/>
    <mergeCell ref="F26:J26"/>
    <mergeCell ref="N26:Q26"/>
    <mergeCell ref="M28:Q28"/>
    <mergeCell ref="R28:T28"/>
    <mergeCell ref="N29:O29"/>
    <mergeCell ref="R29:T29"/>
    <mergeCell ref="D30:L30"/>
    <mergeCell ref="M30:N30"/>
    <mergeCell ref="P30:T30"/>
    <mergeCell ref="D31:L31"/>
    <mergeCell ref="M31:N31"/>
    <mergeCell ref="P31:T31"/>
    <mergeCell ref="D32:L32"/>
    <mergeCell ref="M32:N32"/>
    <mergeCell ref="P32:T32"/>
    <mergeCell ref="D33:L33"/>
    <mergeCell ref="M33:N33"/>
    <mergeCell ref="P33:T33"/>
    <mergeCell ref="D34:L34"/>
    <mergeCell ref="M34:N34"/>
    <mergeCell ref="P34:T34"/>
    <mergeCell ref="D35:L35"/>
    <mergeCell ref="M35:N35"/>
    <mergeCell ref="P35:T35"/>
    <mergeCell ref="D36:L36"/>
    <mergeCell ref="M36:N36"/>
    <mergeCell ref="P36:T36"/>
    <mergeCell ref="D37:L37"/>
    <mergeCell ref="M37:N37"/>
    <mergeCell ref="P37:T37"/>
    <mergeCell ref="D38:L38"/>
    <mergeCell ref="M38:N38"/>
    <mergeCell ref="P38:T38"/>
    <mergeCell ref="D39:L39"/>
    <mergeCell ref="M39:N39"/>
    <mergeCell ref="P39:T39"/>
    <mergeCell ref="D40:L40"/>
    <mergeCell ref="M40:N40"/>
    <mergeCell ref="P40:T40"/>
    <mergeCell ref="D41:L41"/>
    <mergeCell ref="M41:N41"/>
    <mergeCell ref="P41:T41"/>
    <mergeCell ref="D42:L42"/>
    <mergeCell ref="M42:N42"/>
    <mergeCell ref="P42:T42"/>
    <mergeCell ref="D43:L43"/>
    <mergeCell ref="M43:N43"/>
    <mergeCell ref="P43:T43"/>
    <mergeCell ref="D44:L44"/>
    <mergeCell ref="M44:N44"/>
    <mergeCell ref="P44:T44"/>
    <mergeCell ref="D45:L45"/>
    <mergeCell ref="M45:N45"/>
    <mergeCell ref="P45:T45"/>
    <mergeCell ref="D46:L46"/>
    <mergeCell ref="M46:N46"/>
    <mergeCell ref="P46:T46"/>
    <mergeCell ref="D47:L47"/>
    <mergeCell ref="M47:N47"/>
    <mergeCell ref="P47:T47"/>
    <mergeCell ref="A28:C29"/>
    <mergeCell ref="D28:L29"/>
    <mergeCell ref="A1:C2"/>
    <mergeCell ref="R25:T26"/>
    <mergeCell ref="D1:L2"/>
  </mergeCells>
  <printOptions horizontalCentered="1"/>
  <pageMargins left="0.15748031496063" right="0.15748031496063" top="0.748031496062992" bottom="0.47244094488189" header="0.31496062992126" footer="0.31496062992126"/>
  <pageSetup paperSize="9" orientation="landscape"/>
  <headerFooter>
    <oddFooter>&amp;L★ F010204-01[6] 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abSelected="1" view="pageBreakPreview" zoomScale="115" zoomScaleNormal="115" workbookViewId="0">
      <selection activeCell="N5" sqref="N5"/>
    </sheetView>
  </sheetViews>
  <sheetFormatPr defaultColWidth="8.725" defaultRowHeight="13.5" outlineLevelRow="5"/>
  <cols>
    <col min="1" max="5" width="11.725" style="9" customWidth="1"/>
    <col min="6" max="6" width="21.2666666666667" style="9" customWidth="1"/>
    <col min="7" max="7" width="15.3666666666667" style="48" customWidth="1"/>
    <col min="8" max="8" width="10.725" style="9" customWidth="1"/>
    <col min="9" max="9" width="25.6333333333333" style="9" customWidth="1"/>
    <col min="10" max="10" width="1.63333333333333" style="9" customWidth="1"/>
    <col min="11" max="11" width="8.45" style="9" customWidth="1"/>
    <col min="12" max="12" width="8.36666666666667" customWidth="1"/>
  </cols>
  <sheetData>
    <row r="1" ht="25" customHeight="1" spans="1:12">
      <c r="A1" s="2"/>
      <c r="B1" s="2"/>
      <c r="C1" s="3" t="s">
        <v>0</v>
      </c>
      <c r="D1" s="3"/>
      <c r="E1" s="3"/>
      <c r="F1" s="3"/>
      <c r="G1" s="4" t="s">
        <v>140</v>
      </c>
      <c r="H1" s="5" t="s">
        <v>141</v>
      </c>
      <c r="I1" s="6" t="str">
        <f>首页及工序页!N2</f>
        <v>E53234023200-01</v>
      </c>
      <c r="J1" s="7" t="s">
        <v>5</v>
      </c>
      <c r="K1" s="8" t="str">
        <f>首页及工序页!Q2</f>
        <v>A4</v>
      </c>
      <c r="L1" s="9"/>
    </row>
    <row r="2" ht="30" customHeight="1" spans="1:12">
      <c r="A2" s="2"/>
      <c r="B2" s="2"/>
      <c r="C2" s="3"/>
      <c r="D2" s="3"/>
      <c r="E2" s="3"/>
      <c r="F2" s="3"/>
      <c r="G2" s="4" t="s">
        <v>142</v>
      </c>
      <c r="H2" s="10"/>
      <c r="I2" s="10"/>
      <c r="J2" s="11"/>
      <c r="K2" s="11"/>
      <c r="L2" s="9"/>
    </row>
    <row r="3" ht="25.5" customHeight="1" spans="1:12">
      <c r="A3" s="52"/>
      <c r="B3" s="12"/>
      <c r="C3" s="12"/>
      <c r="D3" s="12"/>
      <c r="E3" s="12"/>
      <c r="F3" s="12"/>
      <c r="G3" s="12"/>
      <c r="H3" s="12"/>
      <c r="I3" s="12"/>
      <c r="J3" s="12"/>
      <c r="K3" s="12"/>
      <c r="L3" s="49"/>
    </row>
    <row r="4" ht="27" customHeight="1" spans="1:12">
      <c r="A4" s="50" t="s">
        <v>143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9"/>
    </row>
    <row r="5" ht="297" customHeight="1" spans="1:12">
      <c r="A5" s="16" t="s">
        <v>144</v>
      </c>
      <c r="B5" s="2"/>
      <c r="C5" s="2"/>
      <c r="D5" s="2"/>
      <c r="E5" s="2"/>
      <c r="F5" s="2"/>
      <c r="G5" s="2"/>
      <c r="H5" s="2"/>
      <c r="I5" s="2"/>
      <c r="J5" s="2"/>
      <c r="K5" s="2"/>
      <c r="L5" s="9"/>
    </row>
    <row r="6" ht="23.15" customHeight="1" spans="1:12">
      <c r="A6" s="53" t="s">
        <v>145</v>
      </c>
      <c r="B6" s="54" t="s">
        <v>146</v>
      </c>
      <c r="C6" s="51"/>
      <c r="D6" s="51"/>
      <c r="E6" s="51"/>
      <c r="F6" s="51"/>
      <c r="G6" s="51"/>
      <c r="H6" s="51"/>
      <c r="I6" s="51"/>
      <c r="J6" s="51"/>
      <c r="K6" s="51"/>
      <c r="L6" s="9"/>
    </row>
  </sheetData>
  <mergeCells count="7">
    <mergeCell ref="H2:K2"/>
    <mergeCell ref="A3:K3"/>
    <mergeCell ref="B4:K4"/>
    <mergeCell ref="B5:K5"/>
    <mergeCell ref="B6:K6"/>
    <mergeCell ref="A1:B2"/>
    <mergeCell ref="C1:F2"/>
  </mergeCells>
  <printOptions horizontalCentered="1" verticalCentered="1"/>
  <pageMargins left="0.236220472440945" right="0.236220472440945" top="0.748031496062992" bottom="0.748031496062992" header="0.31496062992126" footer="0.31496062992126"/>
  <pageSetup paperSize="9" orientation="landscape"/>
  <headerFooter>
    <oddFooter>&amp;L★ F010204-01[6] 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view="pageBreakPreview" zoomScale="115" zoomScaleNormal="115" workbookViewId="0">
      <selection activeCell="A4" sqref="$A4:$XFD6"/>
    </sheetView>
  </sheetViews>
  <sheetFormatPr defaultColWidth="8.725" defaultRowHeight="13.5" outlineLevelRow="5"/>
  <cols>
    <col min="1" max="5" width="11.725" style="9" customWidth="1"/>
    <col min="6" max="6" width="21.2666666666667" style="9" customWidth="1"/>
    <col min="7" max="7" width="15.3666666666667" style="48" customWidth="1"/>
    <col min="8" max="8" width="10.725" style="9" customWidth="1"/>
    <col min="9" max="9" width="25.6333333333333" style="9" customWidth="1"/>
    <col min="10" max="10" width="1.63333333333333" style="9" customWidth="1"/>
    <col min="11" max="11" width="8.45" style="9" customWidth="1"/>
    <col min="12" max="12" width="8.36666666666667" customWidth="1"/>
  </cols>
  <sheetData>
    <row r="1" ht="25" customHeight="1" spans="1:12">
      <c r="A1" s="2"/>
      <c r="B1" s="2"/>
      <c r="C1" s="3" t="s">
        <v>0</v>
      </c>
      <c r="D1" s="3"/>
      <c r="E1" s="3"/>
      <c r="F1" s="3"/>
      <c r="G1" s="4" t="s">
        <v>140</v>
      </c>
      <c r="H1" s="5" t="s">
        <v>141</v>
      </c>
      <c r="I1" s="6" t="str">
        <f>首页及工序页!N2</f>
        <v>E53234023200-01</v>
      </c>
      <c r="J1" s="7" t="s">
        <v>5</v>
      </c>
      <c r="K1" s="8" t="str">
        <f>首页及工序页!Q2</f>
        <v>A4</v>
      </c>
      <c r="L1" s="9"/>
    </row>
    <row r="2" ht="30" customHeight="1" spans="1:12">
      <c r="A2" s="2"/>
      <c r="B2" s="2"/>
      <c r="C2" s="3"/>
      <c r="D2" s="3"/>
      <c r="E2" s="3"/>
      <c r="F2" s="3"/>
      <c r="G2" s="4" t="s">
        <v>142</v>
      </c>
      <c r="H2" s="10"/>
      <c r="I2" s="10"/>
      <c r="J2" s="11"/>
      <c r="K2" s="11"/>
      <c r="L2" s="9"/>
    </row>
    <row r="3" ht="25.5" customHeight="1" spans="1:12">
      <c r="A3" s="12" t="s">
        <v>147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49"/>
    </row>
    <row r="4" ht="27" customHeight="1" spans="1:12">
      <c r="A4" s="50" t="s">
        <v>143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9"/>
    </row>
    <row r="5" ht="297" customHeight="1" spans="1:12">
      <c r="A5" s="16" t="s">
        <v>148</v>
      </c>
      <c r="B5" s="2"/>
      <c r="C5" s="2"/>
      <c r="D5" s="2"/>
      <c r="E5" s="2"/>
      <c r="F5" s="2"/>
      <c r="G5" s="2"/>
      <c r="H5" s="2"/>
      <c r="I5" s="2"/>
      <c r="J5" s="2"/>
      <c r="K5" s="2"/>
      <c r="L5" s="9"/>
    </row>
    <row r="6" ht="23.15" customHeight="1" spans="1:12">
      <c r="A6" s="50" t="s">
        <v>149</v>
      </c>
      <c r="B6" s="51" t="s">
        <v>150</v>
      </c>
      <c r="C6" s="51"/>
      <c r="D6" s="51"/>
      <c r="E6" s="51"/>
      <c r="F6" s="51"/>
      <c r="G6" s="51"/>
      <c r="H6" s="51"/>
      <c r="I6" s="51"/>
      <c r="J6" s="51"/>
      <c r="K6" s="51"/>
      <c r="L6" s="9"/>
    </row>
  </sheetData>
  <mergeCells count="7">
    <mergeCell ref="H2:K2"/>
    <mergeCell ref="A3:K3"/>
    <mergeCell ref="B4:K4"/>
    <mergeCell ref="B5:K5"/>
    <mergeCell ref="B6:K6"/>
    <mergeCell ref="A1:B2"/>
    <mergeCell ref="C1:F2"/>
  </mergeCells>
  <printOptions horizontalCentered="1" verticalCentered="1"/>
  <pageMargins left="0.236220472440945" right="0.236220472440945" top="0.748031496062992" bottom="0.748031496062992" header="0.31496062992126" footer="0.31496062992126"/>
  <pageSetup paperSize="9" orientation="landscape"/>
  <headerFooter>
    <oddFooter>&amp;L★ F010204-01[6] &amp;RPage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view="pageBreakPreview" zoomScale="115" zoomScaleNormal="100" topLeftCell="A2" workbookViewId="0">
      <selection activeCell="D12" sqref="D12"/>
    </sheetView>
  </sheetViews>
  <sheetFormatPr defaultColWidth="8.725" defaultRowHeight="13.5"/>
  <cols>
    <col min="1" max="5" width="11.725" style="21" customWidth="1"/>
    <col min="6" max="6" width="21.2666666666667" style="21" customWidth="1"/>
    <col min="7" max="7" width="15.3666666666667" style="22" customWidth="1"/>
    <col min="8" max="8" width="10.725" style="21" customWidth="1"/>
    <col min="9" max="9" width="25.6333333333333" style="21" customWidth="1"/>
    <col min="10" max="10" width="1.63333333333333" style="21" customWidth="1"/>
    <col min="11" max="11" width="8.45" style="21" customWidth="1"/>
    <col min="12" max="12" width="8.36666666666667" style="23" customWidth="1"/>
    <col min="13" max="16384" width="8.725" style="23"/>
  </cols>
  <sheetData>
    <row r="1" ht="25" customHeight="1" spans="1:12">
      <c r="A1" s="24"/>
      <c r="B1" s="24"/>
      <c r="C1" s="25" t="s">
        <v>0</v>
      </c>
      <c r="D1" s="25"/>
      <c r="E1" s="25"/>
      <c r="F1" s="25"/>
      <c r="G1" s="26" t="s">
        <v>140</v>
      </c>
      <c r="H1" s="27" t="s">
        <v>141</v>
      </c>
      <c r="I1" s="28" t="str">
        <f>首页及工序页!N2</f>
        <v>E53234023200-01</v>
      </c>
      <c r="J1" s="29" t="s">
        <v>5</v>
      </c>
      <c r="K1" s="30" t="str">
        <f>首页及工序页!Q2</f>
        <v>A4</v>
      </c>
      <c r="L1" s="21"/>
    </row>
    <row r="2" ht="30" customHeight="1" spans="1:12">
      <c r="A2" s="24"/>
      <c r="B2" s="24"/>
      <c r="C2" s="25"/>
      <c r="D2" s="25"/>
      <c r="E2" s="25"/>
      <c r="F2" s="25"/>
      <c r="G2" s="26" t="s">
        <v>142</v>
      </c>
      <c r="H2" s="31"/>
      <c r="I2" s="31"/>
      <c r="J2" s="32"/>
      <c r="K2" s="32"/>
      <c r="L2" s="21"/>
    </row>
    <row r="3" s="20" customFormat="1" ht="34.5" customHeight="1" spans="1:12">
      <c r="A3" s="33" t="s">
        <v>151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4"/>
    </row>
    <row r="4" s="20" customFormat="1" ht="50.15" customHeight="1" spans="1:12">
      <c r="A4" s="35" t="s">
        <v>152</v>
      </c>
      <c r="B4" s="36" t="s">
        <v>153</v>
      </c>
      <c r="C4" s="37"/>
      <c r="D4" s="38" t="s">
        <v>154</v>
      </c>
      <c r="E4" s="36" t="s">
        <v>155</v>
      </c>
      <c r="F4" s="37"/>
      <c r="G4" s="36" t="s">
        <v>156</v>
      </c>
      <c r="H4" s="37"/>
      <c r="I4" s="38" t="s">
        <v>153</v>
      </c>
      <c r="J4" s="36" t="s">
        <v>154</v>
      </c>
      <c r="K4" s="37"/>
      <c r="L4" s="39"/>
    </row>
    <row r="5" s="20" customFormat="1" ht="40.5" customHeight="1" spans="1:12">
      <c r="A5" s="35"/>
      <c r="B5" s="36"/>
      <c r="C5" s="37"/>
      <c r="D5" s="38"/>
      <c r="E5" s="36"/>
      <c r="F5" s="37"/>
      <c r="G5" s="36"/>
      <c r="H5" s="37"/>
      <c r="I5" s="38"/>
      <c r="J5" s="36"/>
      <c r="K5" s="37"/>
      <c r="L5" s="39"/>
    </row>
    <row r="6" s="20" customFormat="1" ht="40.5" customHeight="1" spans="1:12">
      <c r="A6" s="38" t="s">
        <v>157</v>
      </c>
      <c r="B6" s="36" t="s">
        <v>158</v>
      </c>
      <c r="C6" s="40"/>
      <c r="D6" s="38" t="s">
        <v>159</v>
      </c>
      <c r="E6" s="36" t="s">
        <v>160</v>
      </c>
      <c r="F6" s="40"/>
      <c r="G6" s="36" t="s">
        <v>156</v>
      </c>
      <c r="H6" s="40"/>
      <c r="I6" s="38" t="s">
        <v>153</v>
      </c>
      <c r="J6" s="36" t="s">
        <v>161</v>
      </c>
      <c r="K6" s="37"/>
      <c r="L6" s="39"/>
    </row>
    <row r="7" s="20" customFormat="1" ht="40.5" customHeight="1" spans="1:12">
      <c r="A7" s="41"/>
      <c r="B7" s="42"/>
      <c r="C7" s="43"/>
      <c r="D7" s="44"/>
      <c r="E7" s="45"/>
      <c r="F7" s="46"/>
      <c r="G7" s="42"/>
      <c r="H7" s="43"/>
      <c r="I7" s="47"/>
      <c r="J7" s="36"/>
      <c r="K7" s="37"/>
      <c r="L7" s="39"/>
    </row>
    <row r="8" s="20" customFormat="1" ht="40.5" customHeight="1" spans="1:12">
      <c r="A8" s="41"/>
      <c r="B8" s="42"/>
      <c r="C8" s="43"/>
      <c r="D8" s="44"/>
      <c r="E8" s="45"/>
      <c r="F8" s="46"/>
      <c r="G8" s="42"/>
      <c r="H8" s="43"/>
      <c r="I8" s="47"/>
      <c r="J8" s="36"/>
      <c r="K8" s="37"/>
      <c r="L8" s="39"/>
    </row>
    <row r="9" s="20" customFormat="1" ht="40.5" customHeight="1" spans="1:12">
      <c r="A9" s="41"/>
      <c r="B9" s="42"/>
      <c r="C9" s="43"/>
      <c r="D9" s="44"/>
      <c r="E9" s="45"/>
      <c r="F9" s="46"/>
      <c r="G9" s="42"/>
      <c r="H9" s="43"/>
      <c r="I9" s="47"/>
      <c r="J9" s="36"/>
      <c r="K9" s="37"/>
      <c r="L9" s="39"/>
    </row>
    <row r="10" s="20" customFormat="1" ht="40.5" customHeight="1" spans="1:12">
      <c r="A10" s="41"/>
      <c r="B10" s="42"/>
      <c r="C10" s="43"/>
      <c r="D10" s="44"/>
      <c r="E10" s="45"/>
      <c r="F10" s="46"/>
      <c r="G10" s="42"/>
      <c r="H10" s="43"/>
      <c r="I10" s="47"/>
      <c r="J10" s="36"/>
      <c r="K10" s="37"/>
      <c r="L10" s="39"/>
    </row>
    <row r="11" s="20" customFormat="1" ht="40.5" customHeight="1" spans="1:12">
      <c r="A11" s="41"/>
      <c r="B11" s="42"/>
      <c r="C11" s="43"/>
      <c r="D11" s="44"/>
      <c r="E11" s="45"/>
      <c r="F11" s="46"/>
      <c r="G11" s="42"/>
      <c r="H11" s="43"/>
      <c r="I11" s="47"/>
      <c r="J11" s="36"/>
      <c r="K11" s="37"/>
      <c r="L11" s="39"/>
    </row>
    <row r="12" s="20" customFormat="1" ht="40.5" customHeight="1" spans="1:12">
      <c r="A12" s="41"/>
      <c r="B12" s="42"/>
      <c r="C12" s="43"/>
      <c r="D12" s="44"/>
      <c r="E12" s="45"/>
      <c r="F12" s="46"/>
      <c r="G12" s="42"/>
      <c r="H12" s="43"/>
      <c r="I12" s="47"/>
      <c r="J12" s="36"/>
      <c r="K12" s="37"/>
      <c r="L12" s="39"/>
    </row>
  </sheetData>
  <mergeCells count="40">
    <mergeCell ref="H2:K2"/>
    <mergeCell ref="A3:K3"/>
    <mergeCell ref="B4:C4"/>
    <mergeCell ref="E4:F4"/>
    <mergeCell ref="G4:H4"/>
    <mergeCell ref="J4:K4"/>
    <mergeCell ref="B5:C5"/>
    <mergeCell ref="E5:F5"/>
    <mergeCell ref="G5:H5"/>
    <mergeCell ref="J5:K5"/>
    <mergeCell ref="B6:C6"/>
    <mergeCell ref="E6:F6"/>
    <mergeCell ref="G6:H6"/>
    <mergeCell ref="J6:K6"/>
    <mergeCell ref="B7:C7"/>
    <mergeCell ref="E7:F7"/>
    <mergeCell ref="G7:H7"/>
    <mergeCell ref="J7:K7"/>
    <mergeCell ref="B8:C8"/>
    <mergeCell ref="E8:F8"/>
    <mergeCell ref="G8:H8"/>
    <mergeCell ref="J8:K8"/>
    <mergeCell ref="B9:C9"/>
    <mergeCell ref="E9:F9"/>
    <mergeCell ref="G9:H9"/>
    <mergeCell ref="J9:K9"/>
    <mergeCell ref="B10:C10"/>
    <mergeCell ref="E10:F10"/>
    <mergeCell ref="G10:H10"/>
    <mergeCell ref="J10:K10"/>
    <mergeCell ref="B11:C11"/>
    <mergeCell ref="E11:F11"/>
    <mergeCell ref="G11:H11"/>
    <mergeCell ref="J11:K11"/>
    <mergeCell ref="B12:C12"/>
    <mergeCell ref="E12:F12"/>
    <mergeCell ref="G12:H12"/>
    <mergeCell ref="J12:K12"/>
    <mergeCell ref="A1:B2"/>
    <mergeCell ref="C1:F2"/>
  </mergeCells>
  <printOptions horizontalCentered="1" verticalCentered="1"/>
  <pageMargins left="0.236220472440945" right="0.236220472440945" top="0.748031496062992" bottom="0.748031496062992" header="0.31496062992126" footer="0.31496062992126"/>
  <pageSetup paperSize="9" orientation="landscape"/>
  <headerFooter>
    <oddFooter>&amp;L★ F010204-01[6] &amp;RPage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view="pageBreakPreview" zoomScale="115" zoomScaleNormal="130" workbookViewId="0">
      <selection activeCell="G13" sqref="G13"/>
    </sheetView>
  </sheetViews>
  <sheetFormatPr defaultColWidth="8.725" defaultRowHeight="13.5" outlineLevelRow="7"/>
  <cols>
    <col min="1" max="4" width="11.725" customWidth="1"/>
    <col min="5" max="5" width="15" customWidth="1"/>
    <col min="6" max="6" width="11.45" customWidth="1"/>
    <col min="7" max="7" width="16.0916666666667" customWidth="1"/>
    <col min="8" max="8" width="10.725" customWidth="1"/>
    <col min="9" max="9" width="26.0916666666667" customWidth="1"/>
    <col min="10" max="10" width="2.90833333333333" customWidth="1"/>
    <col min="11" max="11" width="9.09166666666667" customWidth="1"/>
  </cols>
  <sheetData>
    <row r="1" ht="25" customHeight="1" spans="1:12">
      <c r="A1" s="2"/>
      <c r="B1" s="2"/>
      <c r="C1" s="3" t="s">
        <v>0</v>
      </c>
      <c r="D1" s="3"/>
      <c r="E1" s="3"/>
      <c r="F1" s="3"/>
      <c r="G1" s="4" t="s">
        <v>140</v>
      </c>
      <c r="H1" s="5" t="s">
        <v>141</v>
      </c>
      <c r="I1" s="6" t="str">
        <f>首页及工序页!N2</f>
        <v>E53234023200-01</v>
      </c>
      <c r="J1" s="7" t="s">
        <v>5</v>
      </c>
      <c r="K1" s="8" t="str">
        <f>首页及工序页!Q2</f>
        <v>A4</v>
      </c>
      <c r="L1" s="9"/>
    </row>
    <row r="2" ht="30" customHeight="1" spans="1:12">
      <c r="A2" s="2"/>
      <c r="B2" s="2"/>
      <c r="C2" s="3"/>
      <c r="D2" s="3"/>
      <c r="E2" s="3"/>
      <c r="F2" s="3"/>
      <c r="G2" s="4" t="s">
        <v>142</v>
      </c>
      <c r="H2" s="10"/>
      <c r="I2" s="10"/>
      <c r="J2" s="11"/>
      <c r="K2" s="11"/>
      <c r="L2" s="9"/>
    </row>
    <row r="3" s="1" customFormat="1" ht="37.5" customHeight="1" spans="1:12">
      <c r="A3" s="12" t="s">
        <v>162</v>
      </c>
      <c r="B3" s="12"/>
      <c r="C3" s="12"/>
      <c r="D3" s="12"/>
      <c r="E3" s="12"/>
      <c r="F3" s="12"/>
      <c r="G3" s="12"/>
      <c r="H3" s="12"/>
      <c r="I3" s="12"/>
      <c r="J3" s="13"/>
      <c r="K3" s="12"/>
      <c r="L3" s="14"/>
    </row>
    <row r="4" s="1" customFormat="1" ht="24.75" spans="1:12">
      <c r="A4" s="15" t="s">
        <v>163</v>
      </c>
      <c r="B4" s="15" t="s">
        <v>164</v>
      </c>
      <c r="C4" s="15"/>
      <c r="D4" s="15"/>
      <c r="E4" s="15"/>
      <c r="F4" s="16" t="s">
        <v>165</v>
      </c>
      <c r="G4" s="16"/>
      <c r="H4" s="16"/>
      <c r="I4" s="15" t="s">
        <v>166</v>
      </c>
      <c r="J4" s="17"/>
      <c r="K4" s="15"/>
      <c r="L4" s="14"/>
    </row>
    <row r="5" s="1" customFormat="1" ht="30.75" customHeight="1" spans="1:12">
      <c r="A5" s="18" t="s">
        <v>167</v>
      </c>
      <c r="B5" s="15" t="s">
        <v>168</v>
      </c>
      <c r="C5" s="15"/>
      <c r="D5" s="15"/>
      <c r="E5" s="15"/>
      <c r="F5" s="19" t="s">
        <v>150</v>
      </c>
      <c r="G5" s="16"/>
      <c r="H5" s="16"/>
      <c r="I5" s="15" t="s">
        <v>150</v>
      </c>
      <c r="J5" s="17"/>
      <c r="K5" s="15"/>
      <c r="L5" s="14"/>
    </row>
    <row r="6" s="1" customFormat="1" ht="30.75" customHeight="1" spans="1:12">
      <c r="A6" s="18" t="s">
        <v>169</v>
      </c>
      <c r="B6" s="15" t="s">
        <v>150</v>
      </c>
      <c r="C6" s="15"/>
      <c r="D6" s="15"/>
      <c r="E6" s="15"/>
      <c r="F6" s="19" t="s">
        <v>170</v>
      </c>
      <c r="G6" s="16"/>
      <c r="H6" s="16"/>
      <c r="I6" s="15" t="s">
        <v>171</v>
      </c>
      <c r="J6" s="17"/>
      <c r="K6" s="15"/>
      <c r="L6" s="14"/>
    </row>
    <row r="7" s="1" customFormat="1" ht="30.75" customHeight="1" spans="1:12">
      <c r="A7" s="18" t="s">
        <v>172</v>
      </c>
      <c r="B7" s="15" t="s">
        <v>173</v>
      </c>
      <c r="C7" s="15"/>
      <c r="D7" s="15"/>
      <c r="E7" s="15"/>
      <c r="F7" s="19" t="s">
        <v>174</v>
      </c>
      <c r="G7" s="16"/>
      <c r="H7" s="16"/>
      <c r="I7" s="15" t="s">
        <v>175</v>
      </c>
      <c r="J7" s="17"/>
      <c r="K7" s="15"/>
      <c r="L7" s="14"/>
    </row>
    <row r="8" s="1" customFormat="1" ht="30.75" customHeight="1" spans="1:12">
      <c r="A8" s="18" t="s">
        <v>6</v>
      </c>
      <c r="B8" s="15" t="s">
        <v>176</v>
      </c>
      <c r="C8" s="15"/>
      <c r="D8" s="15"/>
      <c r="E8" s="15"/>
      <c r="F8" s="19" t="s">
        <v>177</v>
      </c>
      <c r="G8" s="16"/>
      <c r="H8" s="16"/>
      <c r="I8" s="15" t="s">
        <v>175</v>
      </c>
      <c r="J8" s="17"/>
      <c r="K8" s="15"/>
      <c r="L8" s="14"/>
    </row>
  </sheetData>
  <mergeCells count="19">
    <mergeCell ref="H2:K2"/>
    <mergeCell ref="A3:K3"/>
    <mergeCell ref="B4:E4"/>
    <mergeCell ref="F4:H4"/>
    <mergeCell ref="I4:K4"/>
    <mergeCell ref="B5:E5"/>
    <mergeCell ref="F5:H5"/>
    <mergeCell ref="I5:K5"/>
    <mergeCell ref="B6:E6"/>
    <mergeCell ref="F6:H6"/>
    <mergeCell ref="I6:K6"/>
    <mergeCell ref="B7:E7"/>
    <mergeCell ref="F7:H7"/>
    <mergeCell ref="I7:K7"/>
    <mergeCell ref="B8:E8"/>
    <mergeCell ref="F8:H8"/>
    <mergeCell ref="I8:K8"/>
    <mergeCell ref="A1:B2"/>
    <mergeCell ref="C1:F2"/>
  </mergeCells>
  <printOptions horizontalCentered="1"/>
  <pageMargins left="0.236220472440945" right="0.236220472440945" top="0.748031496062992" bottom="0.748031496062992" header="0.31496062992126" footer="0.31496062992126"/>
  <pageSetup paperSize="9" orientation="landscape"/>
  <headerFooter>
    <oddFooter>&amp;L★ F010204-01[6] 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首页及工序页</vt:lpstr>
      <vt:lpstr>草图页</vt:lpstr>
      <vt:lpstr>草图页 (2)</vt:lpstr>
      <vt:lpstr>校形页(仅适用钣金)</vt:lpstr>
      <vt:lpstr>更改记录页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吴昊</dc:creator>
  <cp:lastModifiedBy>sweet</cp:lastModifiedBy>
  <dcterms:created xsi:type="dcterms:W3CDTF">2022-07-19T01:19:00Z</dcterms:created>
  <cp:lastPrinted>2025-09-17T07:38:00Z</cp:lastPrinted>
  <dcterms:modified xsi:type="dcterms:W3CDTF">2026-01-02T14:55:03Z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5FDCFFC1AEB14297851FEDE9E0E03E6E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